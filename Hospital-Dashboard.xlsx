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kumar\Desktop\Excel-project\"/>
    </mc:Choice>
  </mc:AlternateContent>
  <xr:revisionPtr revIDLastSave="0" documentId="13_ncr:1_{883EED42-4BB1-497C-B545-D76742063353}" xr6:coauthVersionLast="47" xr6:coauthVersionMax="47" xr10:uidLastSave="{00000000-0000-0000-0000-000000000000}"/>
  <bookViews>
    <workbookView xWindow="-108" yWindow="-108" windowWidth="23256" windowHeight="12456" activeTab="1" xr2:uid="{4C2AEB8C-061D-4DBD-93FE-C6FF950E3D9E}"/>
  </bookViews>
  <sheets>
    <sheet name="Pivot Report" sheetId="1" r:id="rId1"/>
    <sheet name="Dashboard" sheetId="3" r:id="rId2"/>
    <sheet name="Daily Average Wait Time" sheetId="5" r:id="rId3"/>
    <sheet name="Daily ER Patient" sheetId="4" r:id="rId4"/>
    <sheet name="Daily Average Satisfaction Scor" sheetId="6" r:id="rId5"/>
  </sheets>
  <definedNames>
    <definedName name="Slicer_Date__Month">#N/A</definedName>
    <definedName name="Slicer_Date__Year">#N/A</definedName>
  </definedNames>
  <calcPr calcId="191029"/>
  <pivotCaches>
    <pivotCache cacheId="1405" r:id="rId6"/>
    <pivotCache cacheId="1408" r:id="rId7"/>
    <pivotCache cacheId="1411" r:id="rId8"/>
    <pivotCache cacheId="1414" r:id="rId9"/>
    <pivotCache cacheId="1417" r:id="rId10"/>
    <pivotCache cacheId="1420" r:id="rId11"/>
    <pivotCache cacheId="1423" r:id="rId12"/>
    <pivotCache cacheId="1426" r:id="rId13"/>
    <pivotCache cacheId="1429" r:id="rId14"/>
    <pivotCache cacheId="1432" r:id="rId15"/>
    <pivotCache cacheId="1435" r:id="rId16"/>
    <pivotCache cacheId="1438"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fa1593b-388f-46d4-8058-1bced83dd7af" name="Hospital Emergency Room Data" connection="Query - Hospital Emergency Room Data"/>
          <x15:modelTable id="Calender_aa72b8db-e341-430a-8c38-575d7c46bc3c" name="Calender" connection="Query - Calender"/>
        </x15:modelTables>
        <x15:modelRelationships>
          <x15:modelRelationship fromTable="Hospital Emergency Room Data" fromColumn="Patient Admission Date" toTable="Calender" toColumn="Date"/>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1" l="1"/>
  <c r="C48" i="1"/>
  <c r="B49" i="1"/>
  <c r="B48" i="1"/>
  <c r="A49"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B01D29-1D94-4DE0-AE66-B9EB0D76E32B}" name="Query - Calender" description="Connection to the 'Calender' query in the workbook." type="100" refreshedVersion="8" minRefreshableVersion="5">
    <extLst>
      <ext xmlns:x15="http://schemas.microsoft.com/office/spreadsheetml/2010/11/main" uri="{DE250136-89BD-433C-8126-D09CA5730AF9}">
        <x15:connection id="e15b9433-f926-4633-b383-e285bb5273e3"/>
      </ext>
    </extLst>
  </connection>
  <connection id="2" xr16:uid="{DC8348FC-B7E5-4D34-A07E-B4D3BE083E6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de68b15-2285-4f84-bf68-d759283c7ccd"/>
      </ext>
    </extLst>
  </connection>
  <connection id="3" xr16:uid="{9849BBED-43CE-4444-B5CB-906202380F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<sst xmlns="http://schemas.openxmlformats.org/spreadsheetml/2006/main" count="150" uniqueCount="69">
  <si>
    <t>Distinct Count of Patient Id</t>
  </si>
  <si>
    <t>Average of Patient Waittime</t>
  </si>
  <si>
    <t>Average of Patient Satisfaction Score</t>
  </si>
  <si>
    <t>Row Labels</t>
  </si>
  <si>
    <t>Grand Total</t>
  </si>
  <si>
    <t>Count of Patient Admission Flag</t>
  </si>
  <si>
    <t>Admitted</t>
  </si>
  <si>
    <t>Not Admitted</t>
  </si>
  <si>
    <t>Count of Patient Admission Flag2</t>
  </si>
  <si>
    <t>Admission Status</t>
  </si>
  <si>
    <t>Patient</t>
  </si>
  <si>
    <t>0-10</t>
  </si>
  <si>
    <t>11-20</t>
  </si>
  <si>
    <t>21-30</t>
  </si>
  <si>
    <t>31-40</t>
  </si>
  <si>
    <t>41-50</t>
  </si>
  <si>
    <t>51-60</t>
  </si>
  <si>
    <t>61-70</t>
  </si>
  <si>
    <t>71-80</t>
  </si>
  <si>
    <t>Count of Age Group</t>
  </si>
  <si>
    <t>Status in %</t>
  </si>
  <si>
    <t>% of Total</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</si>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</sst>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sz val="11"/>
      <color theme="0"/>
      <name val="Aptos Narrow"/>
      <family val="2"/>
      <scheme val="minor"/>
    </font>
    <font>
      <sz val="11"/>
      <color theme="3" tint="0.74999237037263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0" fontId="1" fillId="0" borderId="0" xfId="0" applyFont="1"/>
    <xf numFmtId="0" fontId="0" fillId="0" borderId="0" xfId="0" applyNumberFormat="1"/>
    <xf numFmtId="0" fontId="4" fillId="0" borderId="0" xfId="0" applyFont="1"/>
    <xf numFmtId="0" fontId="0" fillId="3" borderId="0" xfId="0" applyFill="1"/>
    <xf numFmtId="0" fontId="5" fillId="3" borderId="0" xfId="0" applyFont="1" applyFill="1"/>
    <xf numFmtId="0" fontId="2" fillId="3" borderId="0" xfId="0" applyFont="1" applyFill="1" applyAlignment="1">
      <alignment horizontal="left"/>
    </xf>
    <xf numFmtId="0" fontId="3" fillId="3" borderId="0" xfId="0" applyFont="1" applyFill="1" applyAlignment="1">
      <alignment horizontal="left"/>
    </xf>
    <xf numFmtId="1" fontId="3" fillId="3" borderId="0" xfId="0" applyNumberFormat="1" applyFont="1" applyFill="1" applyAlignment="1">
      <alignment horizontal="left"/>
    </xf>
    <xf numFmtId="10" fontId="3" fillId="3" borderId="0" xfId="0" applyNumberFormat="1" applyFont="1" applyFill="1" applyAlignment="1">
      <alignment horizontal="left"/>
    </xf>
  </cellXfs>
  <cellStyles count="1">
    <cellStyle name="Normal" xfId="0" builtinId="0"/>
  </cellStyles>
  <dxfs count="417">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font>
        <b/>
        <color theme="1"/>
      </font>
      <fill>
        <patternFill>
          <bgColor theme="0" tint="-4.9989318521683403E-2"/>
        </patternFill>
      </fill>
      <border>
        <bottom style="thin">
          <color theme="6"/>
        </bottom>
        <vertical/>
        <horizontal/>
      </border>
    </dxf>
    <dxf>
      <font>
        <u val="none"/>
        <sz val="9"/>
        <color theme="0"/>
      </font>
      <fill>
        <patternFill>
          <bgColor theme="4" tint="0.79998168889431442"/>
        </patternFill>
      </fill>
      <border diagonalUp="0" diagonalDown="0">
        <left/>
        <right/>
        <top/>
        <bottom/>
        <vertical/>
        <horizontal/>
      </border>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2" formatCode="0.00"/>
    </dxf>
  </dxfs>
  <tableStyles count="1" defaultTableStyle="TableStyleMedium2" defaultPivotStyle="PivotStyleLight16">
    <tableStyle name="My Style" pivot="0" table="0" count="10" xr9:uid="{CF46019F-1996-4481-A6C0-84A83FDA5979}">
      <tableStyleElement type="wholeTable" dxfId="60"/>
      <tableStyleElement type="headerRow" dxfId="59"/>
    </tableStyle>
  </tableStyles>
  <colors>
    <mruColors>
      <color rgb="FF50B7C8"/>
      <color rgb="FFABB52D"/>
      <color rgb="FFD4DA60"/>
      <color rgb="FF0B3B0D"/>
      <color rgb="FFB5C773"/>
      <color rgb="FF041605"/>
    </mruColors>
  </colors>
  <extLst>
    <ext xmlns:x14="http://schemas.microsoft.com/office/spreadsheetml/2009/9/main" uri="{46F421CA-312F-682f-3DD2-61675219B42D}">
      <x14:dxfs count="8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5" tint="0.3999450666829432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4"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59996337778862885"/>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BB52D"/>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59996337778862885"/>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Report!PivotTable4</c:name>
    <c:fmtId val="1"/>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60FA556-D0E2-41E7-96AB-5AF0C0BFFD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8DFC2D3-4E30-4681-9AB0-CA3AEF84FA4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lumMod val="60000"/>
              <a:lumOff val="40000"/>
            </a:schemeClr>
          </a:solidFill>
          <a:ln>
            <a:noFill/>
          </a:ln>
          <a:effectLst/>
        </c:spPr>
      </c:pivotFmt>
      <c:pivotFmt>
        <c:idx val="5"/>
        <c:spPr>
          <a:solidFill>
            <a:schemeClr val="accent2">
              <a:lumMod val="60000"/>
              <a:lumOff val="40000"/>
            </a:schemeClr>
          </a:solidFill>
          <a:ln>
            <a:noFill/>
          </a:ln>
          <a:effectLst/>
        </c:spPr>
      </c:pivotFmt>
    </c:pivotFmts>
    <c:plotArea>
      <c:layout>
        <c:manualLayout>
          <c:layoutTarget val="inner"/>
          <c:xMode val="edge"/>
          <c:yMode val="edge"/>
          <c:x val="8.3523684693169023E-2"/>
          <c:y val="1.0655597398151312E-3"/>
          <c:w val="0.76074622394355662"/>
          <c:h val="0.92647058823529416"/>
        </c:manualLayout>
      </c:layout>
      <c:barChart>
        <c:barDir val="bar"/>
        <c:grouping val="clustered"/>
        <c:varyColors val="0"/>
        <c:ser>
          <c:idx val="0"/>
          <c:order val="0"/>
          <c:tx>
            <c:strRef>
              <c:f>'Pivot Report'!$B$41</c:f>
              <c:strCache>
                <c:ptCount val="1"/>
                <c:pt idx="0">
                  <c:v>Count of Patient Admission Flag2</c:v>
                </c:pt>
              </c:strCache>
            </c:strRef>
          </c:tx>
          <c:spPr>
            <a:solidFill>
              <a:schemeClr val="accent2">
                <a:lumMod val="60000"/>
                <a:lumOff val="40000"/>
              </a:schemeClr>
            </a:solidFill>
            <a:ln>
              <a:no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269</c:v>
                </c:pt>
                <c:pt idx="1">
                  <c:v>244</c:v>
                </c:pt>
              </c:numCache>
            </c:numRef>
          </c:val>
          <c:extLst>
            <c:ext xmlns:c16="http://schemas.microsoft.com/office/drawing/2014/chart" uri="{C3380CC4-5D6E-409C-BE32-E72D297353CC}">
              <c16:uniqueId val="{00000007-09CB-4CFE-B18F-BA0D5BBCCD48}"/>
            </c:ext>
          </c:extLst>
        </c:ser>
        <c:ser>
          <c:idx val="1"/>
          <c:order val="1"/>
          <c:tx>
            <c:strRef>
              <c:f>'Pivot Report'!$C$41</c:f>
              <c:strCache>
                <c:ptCount val="1"/>
                <c:pt idx="0">
                  <c:v>Count of Patient Admission Flag</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0.52436647173489281</c:v>
                </c:pt>
                <c:pt idx="1">
                  <c:v>0.47563352826510719</c:v>
                </c:pt>
              </c:numCache>
            </c:numRef>
          </c:val>
          <c:extLst>
            <c:ext xmlns:c16="http://schemas.microsoft.com/office/drawing/2014/chart" uri="{C3380CC4-5D6E-409C-BE32-E72D297353CC}">
              <c16:uniqueId val="{00000008-09CB-4CFE-B18F-BA0D5BBCCD48}"/>
            </c:ext>
          </c:extLst>
        </c:ser>
        <c:dLbls>
          <c:showLegendKey val="0"/>
          <c:showVal val="0"/>
          <c:showCatName val="0"/>
          <c:showSerName val="0"/>
          <c:showPercent val="0"/>
          <c:showBubbleSize val="0"/>
        </c:dLbls>
        <c:gapWidth val="30"/>
        <c:axId val="79501600"/>
        <c:axId val="79509760"/>
      </c:barChart>
      <c:catAx>
        <c:axId val="79501600"/>
        <c:scaling>
          <c:orientation val="minMax"/>
        </c:scaling>
        <c:delete val="1"/>
        <c:axPos val="l"/>
        <c:numFmt formatCode="General" sourceLinked="1"/>
        <c:majorTickMark val="none"/>
        <c:minorTickMark val="none"/>
        <c:tickLblPos val="nextTo"/>
        <c:crossAx val="79509760"/>
        <c:crosses val="autoZero"/>
        <c:auto val="1"/>
        <c:lblAlgn val="ctr"/>
        <c:lblOffset val="100"/>
        <c:noMultiLvlLbl val="0"/>
      </c:catAx>
      <c:valAx>
        <c:axId val="79509760"/>
        <c:scaling>
          <c:orientation val="minMax"/>
        </c:scaling>
        <c:delete val="1"/>
        <c:axPos val="b"/>
        <c:numFmt formatCode="0" sourceLinked="1"/>
        <c:majorTickMark val="none"/>
        <c:minorTickMark val="none"/>
        <c:tickLblPos val="nextTo"/>
        <c:crossAx val="7950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360843783415962E-3"/>
          <c:y val="3.6068733595800528E-3"/>
          <c:w val="0.99756354468849284"/>
          <c:h val="0.99639340295229051"/>
        </c:manualLayout>
      </c:layout>
      <c:areaChart>
        <c:grouping val="standard"/>
        <c:varyColors val="0"/>
        <c:ser>
          <c:idx val="0"/>
          <c:order val="0"/>
          <c:tx>
            <c:strRef>
              <c:f>'Pivot Report'!$D$6</c:f>
              <c:strCache>
                <c:ptCount val="1"/>
                <c:pt idx="0">
                  <c:v>Total</c:v>
                </c:pt>
              </c:strCache>
            </c:strRef>
          </c:tx>
          <c:spPr>
            <a:solidFill>
              <a:schemeClr val="accent1">
                <a:lumMod val="75000"/>
              </a:schemeClr>
            </a:solidFill>
            <a:ln w="25400">
              <a:noFill/>
            </a:ln>
            <a:effectLst/>
          </c:spPr>
          <c:cat>
            <c:strRef>
              <c:f>'Pivot Report'!$C$7:$C$38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Report'!$D$7:$D$38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348C-4619-ADA5-8C250B70AEA6}"/>
            </c:ext>
          </c:extLst>
        </c:ser>
        <c:dLbls>
          <c:showLegendKey val="0"/>
          <c:showVal val="0"/>
          <c:showCatName val="0"/>
          <c:showSerName val="0"/>
          <c:showPercent val="0"/>
          <c:showBubbleSize val="0"/>
        </c:dLbls>
        <c:axId val="1346910880"/>
        <c:axId val="1346903680"/>
      </c:areaChart>
      <c:catAx>
        <c:axId val="1346910880"/>
        <c:scaling>
          <c:orientation val="minMax"/>
        </c:scaling>
        <c:delete val="1"/>
        <c:axPos val="b"/>
        <c:numFmt formatCode="General" sourceLinked="1"/>
        <c:majorTickMark val="out"/>
        <c:minorTickMark val="none"/>
        <c:tickLblPos val="nextTo"/>
        <c:crossAx val="1346903680"/>
        <c:crosses val="autoZero"/>
        <c:auto val="1"/>
        <c:lblAlgn val="ctr"/>
        <c:lblOffset val="100"/>
        <c:noMultiLvlLbl val="0"/>
      </c:catAx>
      <c:valAx>
        <c:axId val="1346903680"/>
        <c:scaling>
          <c:orientation val="minMax"/>
        </c:scaling>
        <c:delete val="1"/>
        <c:axPos val="l"/>
        <c:numFmt formatCode="General" sourceLinked="1"/>
        <c:majorTickMark val="none"/>
        <c:minorTickMark val="none"/>
        <c:tickLblPos val="nextTo"/>
        <c:crossAx val="134691088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1.1494252873563218E-2"/>
          <c:w val="0.99722222222222223"/>
          <c:h val="0.9885057471264368"/>
        </c:manualLayout>
      </c:layout>
      <c:areaChart>
        <c:grouping val="standard"/>
        <c:varyColors val="0"/>
        <c:ser>
          <c:idx val="0"/>
          <c:order val="0"/>
          <c:tx>
            <c:strRef>
              <c:f>'Pivot Report'!$H$7</c:f>
              <c:strCache>
                <c:ptCount val="1"/>
                <c:pt idx="0">
                  <c:v>Total</c:v>
                </c:pt>
              </c:strCache>
            </c:strRef>
          </c:tx>
          <c:spPr>
            <a:solidFill>
              <a:schemeClr val="accent1">
                <a:lumMod val="75000"/>
              </a:schemeClr>
            </a:solidFill>
            <a:ln w="25400">
              <a:noFill/>
            </a:ln>
            <a:effectLst/>
          </c:spPr>
          <c:cat>
            <c:strRef>
              <c:f>'Pivot Report'!$G$8:$G$39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Report'!$H$8:$H$39</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7EDA-48D8-85BF-E4B915562981}"/>
            </c:ext>
          </c:extLst>
        </c:ser>
        <c:dLbls>
          <c:showLegendKey val="0"/>
          <c:showVal val="0"/>
          <c:showCatName val="0"/>
          <c:showSerName val="0"/>
          <c:showPercent val="0"/>
          <c:showBubbleSize val="0"/>
        </c:dLbls>
        <c:axId val="50361520"/>
        <c:axId val="50354320"/>
      </c:areaChart>
      <c:catAx>
        <c:axId val="50361520"/>
        <c:scaling>
          <c:orientation val="minMax"/>
        </c:scaling>
        <c:delete val="1"/>
        <c:axPos val="b"/>
        <c:numFmt formatCode="General" sourceLinked="1"/>
        <c:majorTickMark val="out"/>
        <c:minorTickMark val="none"/>
        <c:tickLblPos val="nextTo"/>
        <c:crossAx val="50354320"/>
        <c:crosses val="autoZero"/>
        <c:auto val="1"/>
        <c:lblAlgn val="ctr"/>
        <c:lblOffset val="100"/>
        <c:noMultiLvlLbl val="0"/>
      </c:catAx>
      <c:valAx>
        <c:axId val="50354320"/>
        <c:scaling>
          <c:orientation val="minMax"/>
        </c:scaling>
        <c:delete val="1"/>
        <c:axPos val="l"/>
        <c:numFmt formatCode="General" sourceLinked="1"/>
        <c:majorTickMark val="none"/>
        <c:minorTickMark val="none"/>
        <c:tickLblPos val="nextTo"/>
        <c:crossAx val="50361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Report!PivotTable10</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36745406824145E-3"/>
          <c:y val="6.5616797900262458E-3"/>
          <c:w val="0.99689633767846053"/>
          <c:h val="0.9934383202099738"/>
        </c:manualLayout>
      </c:layout>
      <c:areaChart>
        <c:grouping val="standard"/>
        <c:varyColors val="0"/>
        <c:ser>
          <c:idx val="0"/>
          <c:order val="0"/>
          <c:tx>
            <c:strRef>
              <c:f>'Pivot Report'!$L$8</c:f>
              <c:strCache>
                <c:ptCount val="1"/>
                <c:pt idx="0">
                  <c:v>Total</c:v>
                </c:pt>
              </c:strCache>
            </c:strRef>
          </c:tx>
          <c:spPr>
            <a:solidFill>
              <a:schemeClr val="accent1">
                <a:lumMod val="75000"/>
              </a:schemeClr>
            </a:solidFill>
            <a:ln w="25400">
              <a:noFill/>
            </a:ln>
            <a:effectLst/>
          </c:spPr>
          <c:cat>
            <c:strRef>
              <c:f>'Pivot Report'!$K$9:$K$40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Report'!$L$9:$L$40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77BB-4D34-8C2C-2BE96E54A23B}"/>
            </c:ext>
          </c:extLst>
        </c:ser>
        <c:dLbls>
          <c:showLegendKey val="0"/>
          <c:showVal val="0"/>
          <c:showCatName val="0"/>
          <c:showSerName val="0"/>
          <c:showPercent val="0"/>
          <c:showBubbleSize val="0"/>
        </c:dLbls>
        <c:axId val="1346912800"/>
        <c:axId val="1346896480"/>
      </c:areaChart>
      <c:catAx>
        <c:axId val="1346912800"/>
        <c:scaling>
          <c:orientation val="minMax"/>
        </c:scaling>
        <c:delete val="1"/>
        <c:axPos val="b"/>
        <c:numFmt formatCode="General" sourceLinked="1"/>
        <c:majorTickMark val="out"/>
        <c:minorTickMark val="none"/>
        <c:tickLblPos val="nextTo"/>
        <c:crossAx val="1346896480"/>
        <c:crosses val="autoZero"/>
        <c:auto val="1"/>
        <c:lblAlgn val="ctr"/>
        <c:lblOffset val="100"/>
        <c:noMultiLvlLbl val="0"/>
      </c:catAx>
      <c:valAx>
        <c:axId val="1346896480"/>
        <c:scaling>
          <c:orientation val="minMax"/>
        </c:scaling>
        <c:delete val="1"/>
        <c:axPos val="l"/>
        <c:numFmt formatCode="0.00" sourceLinked="1"/>
        <c:majorTickMark val="none"/>
        <c:minorTickMark val="none"/>
        <c:tickLblPos val="nextTo"/>
        <c:crossAx val="1346912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84215991692628E-2"/>
          <c:y val="2.6846558563741175E-2"/>
          <c:w val="0.93888888888888888"/>
          <c:h val="0.84204505686789155"/>
        </c:manualLayout>
      </c:layout>
      <c:barChart>
        <c:barDir val="col"/>
        <c:grouping val="clustered"/>
        <c:varyColors val="0"/>
        <c:ser>
          <c:idx val="0"/>
          <c:order val="0"/>
          <c:tx>
            <c:strRef>
              <c:f>'Pivot Report'!$B$53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0-10</c:v>
                </c:pt>
                <c:pt idx="1">
                  <c:v>11-20</c:v>
                </c:pt>
                <c:pt idx="2">
                  <c:v>21-30</c:v>
                </c:pt>
                <c:pt idx="3">
                  <c:v>31-40</c:v>
                </c:pt>
                <c:pt idx="4">
                  <c:v>41-50</c:v>
                </c:pt>
                <c:pt idx="5">
                  <c:v>51-60</c:v>
                </c:pt>
                <c:pt idx="6">
                  <c:v>61-70</c:v>
                </c:pt>
                <c:pt idx="7">
                  <c:v>71-80</c:v>
                </c:pt>
              </c:strCache>
            </c:strRef>
          </c:cat>
          <c:val>
            <c:numRef>
              <c:f>'Pivot Report'!$B$54:$B$62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0115-4C3D-99EC-9FC2E00969D5}"/>
            </c:ext>
          </c:extLst>
        </c:ser>
        <c:dLbls>
          <c:showLegendKey val="0"/>
          <c:showVal val="0"/>
          <c:showCatName val="0"/>
          <c:showSerName val="0"/>
          <c:showPercent val="0"/>
          <c:showBubbleSize val="0"/>
        </c:dLbls>
        <c:gapWidth val="219"/>
        <c:overlap val="-27"/>
        <c:axId val="461408191"/>
        <c:axId val="461406751"/>
      </c:barChart>
      <c:catAx>
        <c:axId val="46140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6751"/>
        <c:crosses val="autoZero"/>
        <c:auto val="1"/>
        <c:lblAlgn val="ctr"/>
        <c:lblOffset val="100"/>
        <c:noMultiLvlLbl val="0"/>
      </c:catAx>
      <c:valAx>
        <c:axId val="461406751"/>
        <c:scaling>
          <c:orientation val="minMax"/>
        </c:scaling>
        <c:delete val="1"/>
        <c:axPos val="l"/>
        <c:numFmt formatCode="0" sourceLinked="1"/>
        <c:majorTickMark val="none"/>
        <c:minorTickMark val="none"/>
        <c:tickLblPos val="nextTo"/>
        <c:crossAx val="461408191"/>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
        <c:idx val="6"/>
        <c:spPr>
          <a:solidFill>
            <a:schemeClr val="accent2">
              <a:lumMod val="60000"/>
              <a:lumOff val="40000"/>
            </a:schemeClr>
          </a:solidFill>
          <a:ln>
            <a:noFill/>
          </a:ln>
          <a:effectLst/>
        </c:spPr>
      </c:pivotFmt>
    </c:pivotFmts>
    <c:plotArea>
      <c:layout>
        <c:manualLayout>
          <c:layoutTarget val="inner"/>
          <c:xMode val="edge"/>
          <c:yMode val="edge"/>
          <c:x val="0.30962527488118041"/>
          <c:y val="7.8413224662706615E-2"/>
          <c:w val="0.6100575477051855"/>
          <c:h val="0.79200453561725837"/>
        </c:manualLayout>
      </c:layout>
      <c:pieChart>
        <c:varyColors val="1"/>
        <c:ser>
          <c:idx val="0"/>
          <c:order val="0"/>
          <c:tx>
            <c:strRef>
              <c:f>'Pivot Report'!$B$67</c:f>
              <c:strCache>
                <c:ptCount val="1"/>
                <c:pt idx="0">
                  <c:v>Total</c:v>
                </c:pt>
              </c:strCache>
            </c:strRef>
          </c:tx>
          <c:spPr>
            <a:effectLst/>
          </c:spPr>
          <c:dPt>
            <c:idx val="0"/>
            <c:bubble3D val="0"/>
            <c:spPr>
              <a:solidFill>
                <a:schemeClr val="accent1">
                  <a:lumMod val="75000"/>
                </a:schemeClr>
              </a:solidFill>
              <a:ln>
                <a:noFill/>
              </a:ln>
              <a:effectLst/>
            </c:spPr>
            <c:extLst>
              <c:ext xmlns:c16="http://schemas.microsoft.com/office/drawing/2014/chart" uri="{C3380CC4-5D6E-409C-BE32-E72D297353CC}">
                <c16:uniqueId val="{00000001-4AEC-4555-BE37-E1CE4661DD5E}"/>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03-4AEC-4555-BE37-E1CE4661DD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0.00</c:formatCode>
                <c:ptCount val="2"/>
                <c:pt idx="0">
                  <c:v>316</c:v>
                </c:pt>
                <c:pt idx="1">
                  <c:v>197</c:v>
                </c:pt>
              </c:numCache>
            </c:numRef>
          </c:val>
          <c:extLst>
            <c:ext xmlns:c16="http://schemas.microsoft.com/office/drawing/2014/chart" uri="{C3380CC4-5D6E-409C-BE32-E72D297353CC}">
              <c16:uniqueId val="{00000004-4AEC-4555-BE37-E1CE4661DD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5.6522221039937613E-2"/>
          <c:y val="3.3076622001197195E-2"/>
          <c:w val="0.26824146981627295"/>
          <c:h val="0.2643700787401575"/>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D4DA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
        <c:idx val="6"/>
        <c:spPr>
          <a:solidFill>
            <a:schemeClr val="accent2">
              <a:lumMod val="60000"/>
              <a:lumOff val="40000"/>
            </a:schemeClr>
          </a:solidFill>
          <a:ln>
            <a:noFill/>
          </a:ln>
          <a:effectLst/>
        </c:spPr>
      </c:pivotFmt>
    </c:pivotFmts>
    <c:plotArea>
      <c:layout>
        <c:manualLayout>
          <c:layoutTarget val="inner"/>
          <c:xMode val="edge"/>
          <c:yMode val="edge"/>
          <c:x val="0.32014669282844499"/>
          <c:y val="8.175000852166206E-2"/>
          <c:w val="0.60331524093468902"/>
          <c:h val="0.81206156048675737"/>
        </c:manualLayout>
      </c:layout>
      <c:doughnutChart>
        <c:varyColors val="1"/>
        <c:ser>
          <c:idx val="0"/>
          <c:order val="0"/>
          <c:tx>
            <c:strRef>
              <c:f>'Pivot Report'!$B$73</c:f>
              <c:strCache>
                <c:ptCount val="1"/>
                <c:pt idx="0">
                  <c:v>Total</c:v>
                </c:pt>
              </c:strCache>
            </c:strRef>
          </c:tx>
          <c:spPr>
            <a:solidFill>
              <a:srgbClr val="D4DA60"/>
            </a:solidFill>
            <a:effectLst/>
          </c:spPr>
          <c:dPt>
            <c:idx val="0"/>
            <c:bubble3D val="0"/>
            <c:spPr>
              <a:solidFill>
                <a:schemeClr val="accent1">
                  <a:lumMod val="75000"/>
                </a:schemeClr>
              </a:solidFill>
              <a:ln>
                <a:noFill/>
              </a:ln>
              <a:effectLst/>
            </c:spPr>
          </c:dPt>
          <c:dPt>
            <c:idx val="1"/>
            <c:bubble3D val="0"/>
            <c:spPr>
              <a:solidFill>
                <a:schemeClr val="accent2">
                  <a:lumMod val="60000"/>
                  <a:lumOff val="4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0.00</c:formatCode>
                <c:ptCount val="2"/>
                <c:pt idx="0">
                  <c:v>241</c:v>
                </c:pt>
                <c:pt idx="1">
                  <c:v>272</c:v>
                </c:pt>
              </c:numCache>
            </c:numRef>
          </c:val>
          <c:extLst>
            <c:ext xmlns:c16="http://schemas.microsoft.com/office/drawing/2014/chart" uri="{C3380CC4-5D6E-409C-BE32-E72D297353CC}">
              <c16:uniqueId val="{00000008-0299-4DE6-9AE8-1EF1116C83F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1731627296587961E-2"/>
          <c:y val="6.0763342082239741E-2"/>
          <c:w val="0.27118638753773527"/>
          <c:h val="0.26789501312335956"/>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1">
                <a:shade val="15000"/>
                <a:alpha val="93000"/>
              </a:schemeClr>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70211809188187"/>
          <c:y val="8.3749999999999991E-2"/>
          <c:w val="0.74424659985683606"/>
          <c:h val="0.87458333333333338"/>
        </c:manualLayout>
      </c:layout>
      <c:barChart>
        <c:barDir val="bar"/>
        <c:grouping val="clustered"/>
        <c:varyColors val="0"/>
        <c:ser>
          <c:idx val="0"/>
          <c:order val="0"/>
          <c:tx>
            <c:strRef>
              <c:f>'Pivot Report'!$B$80</c:f>
              <c:strCache>
                <c:ptCount val="1"/>
                <c:pt idx="0">
                  <c:v>Total</c:v>
                </c:pt>
              </c:strCache>
            </c:strRef>
          </c:tx>
          <c:spPr>
            <a:solidFill>
              <a:schemeClr val="accent2">
                <a:lumMod val="60000"/>
                <a:lumOff val="40000"/>
              </a:schemeClr>
            </a:solidFill>
            <a:ln>
              <a:solidFill>
                <a:schemeClr val="accent1">
                  <a:shade val="15000"/>
                  <a:alpha val="93000"/>
                </a:schemeClr>
              </a:solidFill>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Report'!$B$81:$B$89</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0844-4C74-8C35-3CF7898AB22A}"/>
            </c:ext>
          </c:extLst>
        </c:ser>
        <c:dLbls>
          <c:showLegendKey val="0"/>
          <c:showVal val="0"/>
          <c:showCatName val="0"/>
          <c:showSerName val="0"/>
          <c:showPercent val="0"/>
          <c:showBubbleSize val="0"/>
        </c:dLbls>
        <c:gapWidth val="92"/>
        <c:axId val="690421151"/>
        <c:axId val="690417311"/>
      </c:barChart>
      <c:catAx>
        <c:axId val="69042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0417311"/>
        <c:crosses val="autoZero"/>
        <c:auto val="1"/>
        <c:lblAlgn val="ctr"/>
        <c:lblOffset val="100"/>
        <c:noMultiLvlLbl val="0"/>
      </c:catAx>
      <c:valAx>
        <c:axId val="690417311"/>
        <c:scaling>
          <c:orientation val="minMax"/>
        </c:scaling>
        <c:delete val="1"/>
        <c:axPos val="b"/>
        <c:numFmt formatCode="0" sourceLinked="1"/>
        <c:majorTickMark val="none"/>
        <c:minorTickMark val="none"/>
        <c:tickLblPos val="nextTo"/>
        <c:crossAx val="690421151"/>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Report'!$H$7</c:f>
              <c:strCache>
                <c:ptCount val="1"/>
                <c:pt idx="0">
                  <c:v>Total</c:v>
                </c:pt>
              </c:strCache>
            </c:strRef>
          </c:tx>
          <c:spPr>
            <a:solidFill>
              <a:schemeClr val="accent1">
                <a:alpha val="85000"/>
              </a:schemeClr>
            </a:solidFill>
            <a:ln w="25400">
              <a:noFill/>
            </a:ln>
            <a:effectLst>
              <a:innerShdw dist="12700" dir="16200000">
                <a:schemeClr val="lt1"/>
              </a:innerShdw>
            </a:effectLst>
          </c:spP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Report'!$G$8:$G$39</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Report'!$H$8:$H$39</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D4C0-4D02-A4A6-8846C1C882EE}"/>
            </c:ext>
          </c:extLst>
        </c:ser>
        <c:dLbls>
          <c:showLegendKey val="0"/>
          <c:showVal val="0"/>
          <c:showCatName val="0"/>
          <c:showSerName val="0"/>
          <c:showPercent val="0"/>
          <c:showBubbleSize val="0"/>
        </c:dLbls>
        <c:axId val="50361520"/>
        <c:axId val="50354320"/>
      </c:areaChart>
      <c:catAx>
        <c:axId val="50361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354320"/>
        <c:crosses val="autoZero"/>
        <c:auto val="1"/>
        <c:lblAlgn val="ctr"/>
        <c:lblOffset val="100"/>
        <c:noMultiLvlLbl val="0"/>
      </c:catAx>
      <c:valAx>
        <c:axId val="503543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crossAx val="50361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96306505138516E-2"/>
          <c:y val="3.6066612363109844E-3"/>
          <c:w val="0.90480279622329951"/>
          <c:h val="0.70284208876875454"/>
        </c:manualLayout>
      </c:layout>
      <c:areaChart>
        <c:grouping val="standard"/>
        <c:varyColors val="0"/>
        <c:ser>
          <c:idx val="0"/>
          <c:order val="0"/>
          <c:tx>
            <c:strRef>
              <c:f>'Pivot Report'!$D$6</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Report'!$C$7:$C$38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Report'!$D$7:$D$38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0C7A-4D5D-9B88-3CB5BB864C87}"/>
            </c:ext>
          </c:extLst>
        </c:ser>
        <c:dLbls>
          <c:showLegendKey val="0"/>
          <c:showVal val="1"/>
          <c:showCatName val="0"/>
          <c:showSerName val="0"/>
          <c:showPercent val="0"/>
          <c:showBubbleSize val="0"/>
        </c:dLbls>
        <c:axId val="1346910880"/>
        <c:axId val="1346903680"/>
      </c:areaChart>
      <c:catAx>
        <c:axId val="134691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480000" spcFirstLastPara="1" vertOverflow="ellipsis"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46903680"/>
        <c:crosses val="autoZero"/>
        <c:auto val="1"/>
        <c:lblAlgn val="ctr"/>
        <c:lblOffset val="100"/>
        <c:noMultiLvlLbl val="0"/>
      </c:catAx>
      <c:valAx>
        <c:axId val="1346903680"/>
        <c:scaling>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1346910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[Hospital-projectt.xlsx]Pivot Report!PivotTable10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Report'!$L$8</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Report'!$K$9:$K$40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Report'!$L$9:$L$40</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434-4072-8C40-7BF31CFB264E}"/>
            </c:ext>
          </c:extLst>
        </c:ser>
        <c:dLbls>
          <c:showLegendKey val="0"/>
          <c:showVal val="0"/>
          <c:showCatName val="0"/>
          <c:showSerName val="0"/>
          <c:showPercent val="0"/>
          <c:showBubbleSize val="0"/>
        </c:dLbls>
        <c:axId val="50404720"/>
        <c:axId val="50402320"/>
      </c:areaChart>
      <c:catAx>
        <c:axId val="5040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2320"/>
        <c:crosses val="autoZero"/>
        <c:auto val="1"/>
        <c:lblAlgn val="ctr"/>
        <c:lblOffset val="100"/>
        <c:noMultiLvlLbl val="0"/>
      </c:catAx>
      <c:valAx>
        <c:axId val="5040232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0404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Average Satisfaction Scor'!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1600199</xdr:colOff>
      <xdr:row>46</xdr:row>
      <xdr:rowOff>236220</xdr:rowOff>
    </xdr:from>
    <xdr:to>
      <xdr:col>4</xdr:col>
      <xdr:colOff>0</xdr:colOff>
      <xdr:row>49</xdr:row>
      <xdr:rowOff>0</xdr:rowOff>
    </xdr:to>
    <xdr:graphicFrame macro="">
      <xdr:nvGraphicFramePr>
        <xdr:cNvPr id="3" name="Chart 2">
          <a:extLst>
            <a:ext uri="{FF2B5EF4-FFF2-40B4-BE49-F238E27FC236}">
              <a16:creationId xmlns:a16="http://schemas.microsoft.com/office/drawing/2014/main" id="{912427A1-99A5-558A-04FA-F63695F3D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60960</xdr:rowOff>
    </xdr:from>
    <xdr:to>
      <xdr:col>7</xdr:col>
      <xdr:colOff>419100</xdr:colOff>
      <xdr:row>4</xdr:row>
      <xdr:rowOff>144780</xdr:rowOff>
    </xdr:to>
    <xdr:sp macro="" textlink="">
      <xdr:nvSpPr>
        <xdr:cNvPr id="2" name="Rectangle: Rounded Corners 1">
          <a:extLst>
            <a:ext uri="{FF2B5EF4-FFF2-40B4-BE49-F238E27FC236}">
              <a16:creationId xmlns:a16="http://schemas.microsoft.com/office/drawing/2014/main" id="{37086C3E-340B-9A63-11FF-55BF4952AA0E}"/>
            </a:ext>
          </a:extLst>
        </xdr:cNvPr>
        <xdr:cNvSpPr/>
      </xdr:nvSpPr>
      <xdr:spPr>
        <a:xfrm>
          <a:off x="91440" y="60960"/>
          <a:ext cx="4594860" cy="815340"/>
        </a:xfrm>
        <a:prstGeom prst="roundRect">
          <a:avLst>
            <a:gd name="adj" fmla="val 119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502920</xdr:colOff>
      <xdr:row>0</xdr:row>
      <xdr:rowOff>60960</xdr:rowOff>
    </xdr:from>
    <xdr:to>
      <xdr:col>10</xdr:col>
      <xdr:colOff>68580</xdr:colOff>
      <xdr:row>4</xdr:row>
      <xdr:rowOff>167640</xdr:rowOff>
    </xdr:to>
    <xdr:sp macro="" textlink="">
      <xdr:nvSpPr>
        <xdr:cNvPr id="11" name="Rectangle: Rounded Corners 10">
          <a:extLst>
            <a:ext uri="{FF2B5EF4-FFF2-40B4-BE49-F238E27FC236}">
              <a16:creationId xmlns:a16="http://schemas.microsoft.com/office/drawing/2014/main" id="{3BF057B3-0199-E104-4612-4110D0994AB5}"/>
            </a:ext>
          </a:extLst>
        </xdr:cNvPr>
        <xdr:cNvSpPr/>
      </xdr:nvSpPr>
      <xdr:spPr>
        <a:xfrm>
          <a:off x="4770120" y="60960"/>
          <a:ext cx="1394460" cy="838200"/>
        </a:xfrm>
        <a:prstGeom prst="roundRect">
          <a:avLst>
            <a:gd name="adj" fmla="val 1131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129540</xdr:colOff>
      <xdr:row>0</xdr:row>
      <xdr:rowOff>68580</xdr:rowOff>
    </xdr:from>
    <xdr:to>
      <xdr:col>14</xdr:col>
      <xdr:colOff>21108</xdr:colOff>
      <xdr:row>10</xdr:row>
      <xdr:rowOff>22860</xdr:rowOff>
    </xdr:to>
    <xdr:sp macro="" textlink="">
      <xdr:nvSpPr>
        <xdr:cNvPr id="16" name="Rectangle: Rounded Corners 15">
          <a:extLst>
            <a:ext uri="{FF2B5EF4-FFF2-40B4-BE49-F238E27FC236}">
              <a16:creationId xmlns:a16="http://schemas.microsoft.com/office/drawing/2014/main" id="{BEA81B81-021F-3E47-BEC0-5639A5D39BDE}"/>
            </a:ext>
          </a:extLst>
        </xdr:cNvPr>
        <xdr:cNvSpPr/>
      </xdr:nvSpPr>
      <xdr:spPr>
        <a:xfrm>
          <a:off x="6225540" y="68580"/>
          <a:ext cx="2329968" cy="1783080"/>
        </a:xfrm>
        <a:prstGeom prst="roundRect">
          <a:avLst>
            <a:gd name="adj" fmla="val 641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70332</xdr:colOff>
      <xdr:row>0</xdr:row>
      <xdr:rowOff>68580</xdr:rowOff>
    </xdr:from>
    <xdr:to>
      <xdr:col>17</xdr:col>
      <xdr:colOff>571500</xdr:colOff>
      <xdr:row>10</xdr:row>
      <xdr:rowOff>22860</xdr:rowOff>
    </xdr:to>
    <xdr:sp macro="" textlink="">
      <xdr:nvSpPr>
        <xdr:cNvPr id="17" name="Rectangle: Rounded Corners 16">
          <a:extLst>
            <a:ext uri="{FF2B5EF4-FFF2-40B4-BE49-F238E27FC236}">
              <a16:creationId xmlns:a16="http://schemas.microsoft.com/office/drawing/2014/main" id="{DFF54CAB-D238-B924-384C-F1E241BBCC37}"/>
            </a:ext>
          </a:extLst>
        </xdr:cNvPr>
        <xdr:cNvSpPr/>
      </xdr:nvSpPr>
      <xdr:spPr>
        <a:xfrm>
          <a:off x="8604732" y="68580"/>
          <a:ext cx="2329968" cy="1783080"/>
        </a:xfrm>
        <a:prstGeom prst="roundRect">
          <a:avLst>
            <a:gd name="adj" fmla="val 641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5</xdr:row>
      <xdr:rowOff>45720</xdr:rowOff>
    </xdr:from>
    <xdr:to>
      <xdr:col>1</xdr:col>
      <xdr:colOff>381000</xdr:colOff>
      <xdr:row>26</xdr:row>
      <xdr:rowOff>121920</xdr:rowOff>
    </xdr:to>
    <xdr:sp macro="" textlink="">
      <xdr:nvSpPr>
        <xdr:cNvPr id="19" name="Rectangle: Rounded Corners 18">
          <a:extLst>
            <a:ext uri="{FF2B5EF4-FFF2-40B4-BE49-F238E27FC236}">
              <a16:creationId xmlns:a16="http://schemas.microsoft.com/office/drawing/2014/main" id="{7938929F-C7CD-A541-A8F8-494400D2EE8A}"/>
            </a:ext>
          </a:extLst>
        </xdr:cNvPr>
        <xdr:cNvSpPr/>
      </xdr:nvSpPr>
      <xdr:spPr>
        <a:xfrm>
          <a:off x="91440" y="960120"/>
          <a:ext cx="899160" cy="3916680"/>
        </a:xfrm>
        <a:prstGeom prst="roundRect">
          <a:avLst>
            <a:gd name="adj" fmla="val 806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396240</xdr:colOff>
      <xdr:row>16</xdr:row>
      <xdr:rowOff>152400</xdr:rowOff>
    </xdr:from>
    <xdr:to>
      <xdr:col>10</xdr:col>
      <xdr:colOff>76200</xdr:colOff>
      <xdr:row>26</xdr:row>
      <xdr:rowOff>129540</xdr:rowOff>
    </xdr:to>
    <xdr:sp macro="" textlink="">
      <xdr:nvSpPr>
        <xdr:cNvPr id="28" name="Rectangle: Rounded Corners 27">
          <a:extLst>
            <a:ext uri="{FF2B5EF4-FFF2-40B4-BE49-F238E27FC236}">
              <a16:creationId xmlns:a16="http://schemas.microsoft.com/office/drawing/2014/main" id="{641B185F-0AA1-5C99-45AB-1772B9A11352}"/>
            </a:ext>
          </a:extLst>
        </xdr:cNvPr>
        <xdr:cNvSpPr/>
      </xdr:nvSpPr>
      <xdr:spPr>
        <a:xfrm>
          <a:off x="1005840" y="3078480"/>
          <a:ext cx="5166360" cy="1805940"/>
        </a:xfrm>
        <a:prstGeom prst="roundRect">
          <a:avLst>
            <a:gd name="adj" fmla="val 5877"/>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129540</xdr:colOff>
      <xdr:row>10</xdr:row>
      <xdr:rowOff>76200</xdr:rowOff>
    </xdr:from>
    <xdr:to>
      <xdr:col>17</xdr:col>
      <xdr:colOff>571500</xdr:colOff>
      <xdr:row>26</xdr:row>
      <xdr:rowOff>129540</xdr:rowOff>
    </xdr:to>
    <xdr:sp macro="" textlink="">
      <xdr:nvSpPr>
        <xdr:cNvPr id="29" name="Rectangle: Rounded Corners 28">
          <a:extLst>
            <a:ext uri="{FF2B5EF4-FFF2-40B4-BE49-F238E27FC236}">
              <a16:creationId xmlns:a16="http://schemas.microsoft.com/office/drawing/2014/main" id="{35A0DA17-EEFD-B4A7-8C00-85DE089057D5}"/>
            </a:ext>
          </a:extLst>
        </xdr:cNvPr>
        <xdr:cNvSpPr/>
      </xdr:nvSpPr>
      <xdr:spPr>
        <a:xfrm>
          <a:off x="6225540" y="1905000"/>
          <a:ext cx="4709160" cy="2979420"/>
        </a:xfrm>
        <a:prstGeom prst="roundRect">
          <a:avLst>
            <a:gd name="adj" fmla="val 641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403860</xdr:colOff>
      <xdr:row>5</xdr:row>
      <xdr:rowOff>30480</xdr:rowOff>
    </xdr:from>
    <xdr:to>
      <xdr:col>4</xdr:col>
      <xdr:colOff>266428</xdr:colOff>
      <xdr:row>11</xdr:row>
      <xdr:rowOff>53340</xdr:rowOff>
    </xdr:to>
    <xdr:sp macro="" textlink="">
      <xdr:nvSpPr>
        <xdr:cNvPr id="20" name="Rectangle: Rounded Corners 19">
          <a:extLst>
            <a:ext uri="{FF2B5EF4-FFF2-40B4-BE49-F238E27FC236}">
              <a16:creationId xmlns:a16="http://schemas.microsoft.com/office/drawing/2014/main" id="{5EA5A75E-1376-D793-DBFB-606D009FA113}"/>
            </a:ext>
          </a:extLst>
        </xdr:cNvPr>
        <xdr:cNvSpPr/>
      </xdr:nvSpPr>
      <xdr:spPr>
        <a:xfrm>
          <a:off x="1013460" y="944880"/>
          <a:ext cx="1691368" cy="1120140"/>
        </a:xfrm>
        <a:prstGeom prst="roundRect">
          <a:avLst>
            <a:gd name="adj" fmla="val 972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297316</xdr:colOff>
      <xdr:row>5</xdr:row>
      <xdr:rowOff>22860</xdr:rowOff>
    </xdr:from>
    <xdr:to>
      <xdr:col>7</xdr:col>
      <xdr:colOff>159884</xdr:colOff>
      <xdr:row>11</xdr:row>
      <xdr:rowOff>45720</xdr:rowOff>
    </xdr:to>
    <xdr:sp macro="" textlink="">
      <xdr:nvSpPr>
        <xdr:cNvPr id="30" name="Rectangle: Rounded Corners 29">
          <a:extLst>
            <a:ext uri="{FF2B5EF4-FFF2-40B4-BE49-F238E27FC236}">
              <a16:creationId xmlns:a16="http://schemas.microsoft.com/office/drawing/2014/main" id="{45A6B9B9-DE88-CE20-DAC4-18102E8BE2C7}"/>
            </a:ext>
          </a:extLst>
        </xdr:cNvPr>
        <xdr:cNvSpPr/>
      </xdr:nvSpPr>
      <xdr:spPr>
        <a:xfrm>
          <a:off x="2735716" y="937260"/>
          <a:ext cx="1691368" cy="1120140"/>
        </a:xfrm>
        <a:prstGeom prst="roundRect">
          <a:avLst>
            <a:gd name="adj" fmla="val 972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7</xdr:col>
      <xdr:colOff>190772</xdr:colOff>
      <xdr:row>5</xdr:row>
      <xdr:rowOff>30480</xdr:rowOff>
    </xdr:from>
    <xdr:to>
      <xdr:col>10</xdr:col>
      <xdr:colOff>53340</xdr:colOff>
      <xdr:row>11</xdr:row>
      <xdr:rowOff>53340</xdr:rowOff>
    </xdr:to>
    <xdr:sp macro="" textlink="">
      <xdr:nvSpPr>
        <xdr:cNvPr id="31" name="Rectangle: Rounded Corners 30">
          <a:extLst>
            <a:ext uri="{FF2B5EF4-FFF2-40B4-BE49-F238E27FC236}">
              <a16:creationId xmlns:a16="http://schemas.microsoft.com/office/drawing/2014/main" id="{FD2B8B9B-B98A-96A3-36FA-07A52F87A4A1}"/>
            </a:ext>
          </a:extLst>
        </xdr:cNvPr>
        <xdr:cNvSpPr/>
      </xdr:nvSpPr>
      <xdr:spPr>
        <a:xfrm>
          <a:off x="4457972" y="944880"/>
          <a:ext cx="1691368" cy="1120140"/>
        </a:xfrm>
        <a:prstGeom prst="roundRect">
          <a:avLst>
            <a:gd name="adj" fmla="val 972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137160</xdr:colOff>
      <xdr:row>1</xdr:row>
      <xdr:rowOff>129540</xdr:rowOff>
    </xdr:from>
    <xdr:to>
      <xdr:col>7</xdr:col>
      <xdr:colOff>281940</xdr:colOff>
      <xdr:row>4</xdr:row>
      <xdr:rowOff>38100</xdr:rowOff>
    </xdr:to>
    <xdr:sp macro="" textlink="">
      <xdr:nvSpPr>
        <xdr:cNvPr id="33" name="TextBox 32">
          <a:extLst>
            <a:ext uri="{FF2B5EF4-FFF2-40B4-BE49-F238E27FC236}">
              <a16:creationId xmlns:a16="http://schemas.microsoft.com/office/drawing/2014/main" id="{79DD8B08-9B26-0E21-F308-3BEF88FC6D7A}"/>
            </a:ext>
          </a:extLst>
        </xdr:cNvPr>
        <xdr:cNvSpPr txBox="1"/>
      </xdr:nvSpPr>
      <xdr:spPr>
        <a:xfrm>
          <a:off x="1356360" y="312420"/>
          <a:ext cx="31927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Hospital Emergency Room Dashboard</a:t>
          </a:r>
        </a:p>
      </xdr:txBody>
    </xdr:sp>
    <xdr:clientData/>
  </xdr:twoCellAnchor>
  <xdr:twoCellAnchor editAs="oneCell">
    <xdr:from>
      <xdr:col>0</xdr:col>
      <xdr:colOff>167640</xdr:colOff>
      <xdr:row>0</xdr:row>
      <xdr:rowOff>99060</xdr:rowOff>
    </xdr:from>
    <xdr:to>
      <xdr:col>1</xdr:col>
      <xdr:colOff>579120</xdr:colOff>
      <xdr:row>4</xdr:row>
      <xdr:rowOff>91440</xdr:rowOff>
    </xdr:to>
    <xdr:pic>
      <xdr:nvPicPr>
        <xdr:cNvPr id="35" name="Picture 34">
          <a:extLst>
            <a:ext uri="{FF2B5EF4-FFF2-40B4-BE49-F238E27FC236}">
              <a16:creationId xmlns:a16="http://schemas.microsoft.com/office/drawing/2014/main" id="{1F088E96-0DC0-7E36-E1A1-2BFAAA2AF94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289" t="18017" r="6918" b="12612"/>
        <a:stretch>
          <a:fillRect/>
        </a:stretch>
      </xdr:blipFill>
      <xdr:spPr>
        <a:xfrm>
          <a:off x="167640" y="99060"/>
          <a:ext cx="1021080" cy="723900"/>
        </a:xfrm>
        <a:prstGeom prst="rect">
          <a:avLst/>
        </a:prstGeom>
      </xdr:spPr>
    </xdr:pic>
    <xdr:clientData/>
  </xdr:twoCellAnchor>
  <xdr:twoCellAnchor>
    <xdr:from>
      <xdr:col>2</xdr:col>
      <xdr:colOff>289560</xdr:colOff>
      <xdr:row>6</xdr:row>
      <xdr:rowOff>53340</xdr:rowOff>
    </xdr:from>
    <xdr:to>
      <xdr:col>4</xdr:col>
      <xdr:colOff>449580</xdr:colOff>
      <xdr:row>7</xdr:row>
      <xdr:rowOff>175260</xdr:rowOff>
    </xdr:to>
    <xdr:sp macro="" textlink="'Pivot Report'!A5">
      <xdr:nvSpPr>
        <xdr:cNvPr id="36" name="TextBox 35">
          <a:extLst>
            <a:ext uri="{FF2B5EF4-FFF2-40B4-BE49-F238E27FC236}">
              <a16:creationId xmlns:a16="http://schemas.microsoft.com/office/drawing/2014/main" id="{04B8CABE-A963-69DC-8B4F-5539F221F964}"/>
            </a:ext>
          </a:extLst>
        </xdr:cNvPr>
        <xdr:cNvSpPr txBox="1"/>
      </xdr:nvSpPr>
      <xdr:spPr>
        <a:xfrm>
          <a:off x="1508760" y="1150620"/>
          <a:ext cx="1379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56CF1E7-FA5D-42D8-AEA9-9AD503E9790C}" type="TxLink">
            <a:rPr lang="en-US" sz="1600" b="0" i="0" u="none" strike="noStrike">
              <a:solidFill>
                <a:srgbClr val="000000"/>
              </a:solidFill>
              <a:latin typeface="Aptos Narrow"/>
            </a:rPr>
            <a:pPr algn="ctr"/>
            <a:t>513</a:t>
          </a:fld>
          <a:endParaRPr lang="en-US" sz="1600"/>
        </a:p>
      </xdr:txBody>
    </xdr:sp>
    <xdr:clientData/>
  </xdr:twoCellAnchor>
  <xdr:twoCellAnchor>
    <xdr:from>
      <xdr:col>5</xdr:col>
      <xdr:colOff>152400</xdr:colOff>
      <xdr:row>6</xdr:row>
      <xdr:rowOff>53340</xdr:rowOff>
    </xdr:from>
    <xdr:to>
      <xdr:col>7</xdr:col>
      <xdr:colOff>312420</xdr:colOff>
      <xdr:row>7</xdr:row>
      <xdr:rowOff>175260</xdr:rowOff>
    </xdr:to>
    <xdr:sp macro="" textlink="'Pivot Report'!A9">
      <xdr:nvSpPr>
        <xdr:cNvPr id="37" name="TextBox 36">
          <a:extLst>
            <a:ext uri="{FF2B5EF4-FFF2-40B4-BE49-F238E27FC236}">
              <a16:creationId xmlns:a16="http://schemas.microsoft.com/office/drawing/2014/main" id="{63B7C5DA-093A-01D9-07BA-CC9E0984E578}"/>
            </a:ext>
          </a:extLst>
        </xdr:cNvPr>
        <xdr:cNvSpPr txBox="1"/>
      </xdr:nvSpPr>
      <xdr:spPr>
        <a:xfrm>
          <a:off x="3200400" y="1150620"/>
          <a:ext cx="1379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AB5E0FB-EC24-4DC8-88E8-501CB781421A}" type="TxLink">
            <a:rPr lang="en-US" sz="1600" b="0" i="0" u="none" strike="noStrike">
              <a:solidFill>
                <a:srgbClr val="000000"/>
              </a:solidFill>
              <a:latin typeface="Aptos Narrow"/>
            </a:rPr>
            <a:pPr algn="ctr"/>
            <a:t>36.32</a:t>
          </a:fld>
          <a:endParaRPr lang="en-US" sz="1600"/>
        </a:p>
      </xdr:txBody>
    </xdr:sp>
    <xdr:clientData/>
  </xdr:twoCellAnchor>
  <xdr:twoCellAnchor>
    <xdr:from>
      <xdr:col>7</xdr:col>
      <xdr:colOff>579120</xdr:colOff>
      <xdr:row>6</xdr:row>
      <xdr:rowOff>60960</xdr:rowOff>
    </xdr:from>
    <xdr:to>
      <xdr:col>10</xdr:col>
      <xdr:colOff>129540</xdr:colOff>
      <xdr:row>8</xdr:row>
      <xdr:rowOff>0</xdr:rowOff>
    </xdr:to>
    <xdr:sp macro="" textlink="'Pivot Report'!A13">
      <xdr:nvSpPr>
        <xdr:cNvPr id="38" name="TextBox 37">
          <a:extLst>
            <a:ext uri="{FF2B5EF4-FFF2-40B4-BE49-F238E27FC236}">
              <a16:creationId xmlns:a16="http://schemas.microsoft.com/office/drawing/2014/main" id="{A89873E2-511A-9768-0D0C-A42788BEF7FD}"/>
            </a:ext>
          </a:extLst>
        </xdr:cNvPr>
        <xdr:cNvSpPr txBox="1"/>
      </xdr:nvSpPr>
      <xdr:spPr>
        <a:xfrm>
          <a:off x="4846320" y="1158240"/>
          <a:ext cx="1379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BDEAE7F-5E03-4D73-B7E1-CC1B27B9C586}" type="TxLink">
            <a:rPr lang="en-US" sz="1600" b="0" i="0" u="none" strike="noStrike">
              <a:solidFill>
                <a:srgbClr val="000000"/>
              </a:solidFill>
              <a:latin typeface="Aptos Narrow"/>
            </a:rPr>
            <a:pPr algn="ctr"/>
            <a:t>4.96</a:t>
          </a:fld>
          <a:endParaRPr lang="en-US" sz="1600"/>
        </a:p>
      </xdr:txBody>
    </xdr:sp>
    <xdr:clientData/>
  </xdr:twoCellAnchor>
  <xdr:twoCellAnchor>
    <xdr:from>
      <xdr:col>1</xdr:col>
      <xdr:colOff>144780</xdr:colOff>
      <xdr:row>8</xdr:row>
      <xdr:rowOff>53340</xdr:rowOff>
    </xdr:from>
    <xdr:to>
      <xdr:col>3</xdr:col>
      <xdr:colOff>304800</xdr:colOff>
      <xdr:row>9</xdr:row>
      <xdr:rowOff>175260</xdr:rowOff>
    </xdr:to>
    <xdr:sp macro="" textlink="">
      <xdr:nvSpPr>
        <xdr:cNvPr id="39" name="TextBox 38">
          <a:extLst>
            <a:ext uri="{FF2B5EF4-FFF2-40B4-BE49-F238E27FC236}">
              <a16:creationId xmlns:a16="http://schemas.microsoft.com/office/drawing/2014/main" id="{8CEA7E61-B224-9F1B-9819-9D082B981C74}"/>
            </a:ext>
          </a:extLst>
        </xdr:cNvPr>
        <xdr:cNvSpPr txBox="1"/>
      </xdr:nvSpPr>
      <xdr:spPr>
        <a:xfrm>
          <a:off x="754380" y="1516380"/>
          <a:ext cx="1379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Aptos Narrow"/>
            </a:rPr>
            <a:t>No.</a:t>
          </a:r>
          <a:r>
            <a:rPr lang="en-US" sz="1100" b="0" i="0" u="none" strike="noStrike" baseline="0">
              <a:solidFill>
                <a:srgbClr val="000000"/>
              </a:solidFill>
              <a:latin typeface="Aptos Narrow"/>
            </a:rPr>
            <a:t> of Patient</a:t>
          </a:r>
          <a:endParaRPr lang="en-US" sz="1100" b="0" i="0" u="none" strike="noStrike">
            <a:solidFill>
              <a:srgbClr val="000000"/>
            </a:solidFill>
            <a:latin typeface="Aptos Narrow"/>
          </a:endParaRPr>
        </a:p>
      </xdr:txBody>
    </xdr:sp>
    <xdr:clientData/>
  </xdr:twoCellAnchor>
  <xdr:twoCellAnchor>
    <xdr:from>
      <xdr:col>4</xdr:col>
      <xdr:colOff>259080</xdr:colOff>
      <xdr:row>8</xdr:row>
      <xdr:rowOff>45720</xdr:rowOff>
    </xdr:from>
    <xdr:to>
      <xdr:col>6</xdr:col>
      <xdr:colOff>213360</xdr:colOff>
      <xdr:row>10</xdr:row>
      <xdr:rowOff>121920</xdr:rowOff>
    </xdr:to>
    <xdr:sp macro="" textlink="">
      <xdr:nvSpPr>
        <xdr:cNvPr id="40" name="TextBox 39">
          <a:extLst>
            <a:ext uri="{FF2B5EF4-FFF2-40B4-BE49-F238E27FC236}">
              <a16:creationId xmlns:a16="http://schemas.microsoft.com/office/drawing/2014/main" id="{16D10C29-6600-5B10-A900-A69E4CDE00DA}"/>
            </a:ext>
          </a:extLst>
        </xdr:cNvPr>
        <xdr:cNvSpPr txBox="1"/>
      </xdr:nvSpPr>
      <xdr:spPr>
        <a:xfrm>
          <a:off x="2697480" y="1508760"/>
          <a:ext cx="117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Aptos Narrow"/>
            </a:rPr>
            <a:t>Average</a:t>
          </a:r>
          <a:r>
            <a:rPr lang="en-US" sz="1100" b="0" i="0" u="none" strike="noStrike" baseline="0">
              <a:solidFill>
                <a:srgbClr val="000000"/>
              </a:solidFill>
              <a:latin typeface="Aptos Narrow"/>
            </a:rPr>
            <a:t> Wait Time</a:t>
          </a:r>
          <a:endParaRPr lang="en-US" sz="1100" b="0" i="0" u="none" strike="noStrike">
            <a:solidFill>
              <a:srgbClr val="000000"/>
            </a:solidFill>
            <a:latin typeface="Aptos Narrow"/>
          </a:endParaRPr>
        </a:p>
      </xdr:txBody>
    </xdr:sp>
    <xdr:clientData/>
  </xdr:twoCellAnchor>
  <xdr:twoCellAnchor>
    <xdr:from>
      <xdr:col>7</xdr:col>
      <xdr:colOff>144780</xdr:colOff>
      <xdr:row>8</xdr:row>
      <xdr:rowOff>38100</xdr:rowOff>
    </xdr:from>
    <xdr:to>
      <xdr:col>9</xdr:col>
      <xdr:colOff>571500</xdr:colOff>
      <xdr:row>11</xdr:row>
      <xdr:rowOff>106680</xdr:rowOff>
    </xdr:to>
    <xdr:sp macro="" textlink="">
      <xdr:nvSpPr>
        <xdr:cNvPr id="41" name="TextBox 40">
          <a:extLst>
            <a:ext uri="{FF2B5EF4-FFF2-40B4-BE49-F238E27FC236}">
              <a16:creationId xmlns:a16="http://schemas.microsoft.com/office/drawing/2014/main" id="{6E8BF36E-134B-B0B3-C5A1-999428882EB8}"/>
            </a:ext>
          </a:extLst>
        </xdr:cNvPr>
        <xdr:cNvSpPr txBox="1"/>
      </xdr:nvSpPr>
      <xdr:spPr>
        <a:xfrm>
          <a:off x="4411980" y="1501140"/>
          <a:ext cx="164592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Aptos Narrow"/>
            </a:rPr>
            <a:t>Patient</a:t>
          </a:r>
          <a:r>
            <a:rPr lang="en-US" sz="1100" b="0" i="0" u="none" strike="noStrike" baseline="0">
              <a:solidFill>
                <a:srgbClr val="000000"/>
              </a:solidFill>
              <a:latin typeface="Aptos Narrow"/>
            </a:rPr>
            <a:t> Satisfaction Score</a:t>
          </a:r>
          <a:endParaRPr lang="en-US" sz="1100" b="0" i="0" u="none" strike="noStrike">
            <a:solidFill>
              <a:srgbClr val="000000"/>
            </a:solidFill>
            <a:latin typeface="Aptos Narrow"/>
          </a:endParaRPr>
        </a:p>
      </xdr:txBody>
    </xdr:sp>
    <xdr:clientData/>
  </xdr:twoCellAnchor>
  <xdr:twoCellAnchor editAs="oneCell">
    <xdr:from>
      <xdr:col>1</xdr:col>
      <xdr:colOff>419100</xdr:colOff>
      <xdr:row>4</xdr:row>
      <xdr:rowOff>144780</xdr:rowOff>
    </xdr:from>
    <xdr:to>
      <xdr:col>2</xdr:col>
      <xdr:colOff>571500</xdr:colOff>
      <xdr:row>9</xdr:row>
      <xdr:rowOff>45720</xdr:rowOff>
    </xdr:to>
    <xdr:pic>
      <xdr:nvPicPr>
        <xdr:cNvPr id="43" name="Graphic 42" descr="Users with solid fill">
          <a:extLst>
            <a:ext uri="{FF2B5EF4-FFF2-40B4-BE49-F238E27FC236}">
              <a16:creationId xmlns:a16="http://schemas.microsoft.com/office/drawing/2014/main" id="{20091E0B-64F0-B94D-8878-EA3FE9CBC08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28700" y="876300"/>
          <a:ext cx="762000" cy="815340"/>
        </a:xfrm>
        <a:prstGeom prst="rect">
          <a:avLst/>
        </a:prstGeom>
      </xdr:spPr>
    </xdr:pic>
    <xdr:clientData/>
  </xdr:twoCellAnchor>
  <xdr:twoCellAnchor editAs="oneCell">
    <xdr:from>
      <xdr:col>4</xdr:col>
      <xdr:colOff>297180</xdr:colOff>
      <xdr:row>5</xdr:row>
      <xdr:rowOff>0</xdr:rowOff>
    </xdr:from>
    <xdr:to>
      <xdr:col>5</xdr:col>
      <xdr:colOff>388620</xdr:colOff>
      <xdr:row>8</xdr:row>
      <xdr:rowOff>137160</xdr:rowOff>
    </xdr:to>
    <xdr:pic>
      <xdr:nvPicPr>
        <xdr:cNvPr id="45" name="Graphic 44" descr="Clock with solid fill">
          <a:extLst>
            <a:ext uri="{FF2B5EF4-FFF2-40B4-BE49-F238E27FC236}">
              <a16:creationId xmlns:a16="http://schemas.microsoft.com/office/drawing/2014/main" id="{3891D354-1352-398B-76D7-5A9013D44F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35580" y="914400"/>
          <a:ext cx="701040" cy="685800"/>
        </a:xfrm>
        <a:prstGeom prst="rect">
          <a:avLst/>
        </a:prstGeom>
      </xdr:spPr>
    </xdr:pic>
    <xdr:clientData/>
  </xdr:twoCellAnchor>
  <xdr:twoCellAnchor editAs="oneCell">
    <xdr:from>
      <xdr:col>7</xdr:col>
      <xdr:colOff>220980</xdr:colOff>
      <xdr:row>5</xdr:row>
      <xdr:rowOff>45720</xdr:rowOff>
    </xdr:from>
    <xdr:to>
      <xdr:col>8</xdr:col>
      <xdr:colOff>243840</xdr:colOff>
      <xdr:row>8</xdr:row>
      <xdr:rowOff>91440</xdr:rowOff>
    </xdr:to>
    <xdr:pic>
      <xdr:nvPicPr>
        <xdr:cNvPr id="47" name="Graphic 46" descr="Star with solid fill">
          <a:extLst>
            <a:ext uri="{FF2B5EF4-FFF2-40B4-BE49-F238E27FC236}">
              <a16:creationId xmlns:a16="http://schemas.microsoft.com/office/drawing/2014/main" id="{1E432C7E-AC14-A9FC-3166-99D379C4EB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88180" y="960120"/>
          <a:ext cx="632460" cy="594360"/>
        </a:xfrm>
        <a:prstGeom prst="rect">
          <a:avLst/>
        </a:prstGeom>
      </xdr:spPr>
    </xdr:pic>
    <xdr:clientData/>
  </xdr:twoCellAnchor>
  <xdr:twoCellAnchor>
    <xdr:from>
      <xdr:col>2</xdr:col>
      <xdr:colOff>22860</xdr:colOff>
      <xdr:row>3</xdr:row>
      <xdr:rowOff>45720</xdr:rowOff>
    </xdr:from>
    <xdr:to>
      <xdr:col>7</xdr:col>
      <xdr:colOff>167640</xdr:colOff>
      <xdr:row>5</xdr:row>
      <xdr:rowOff>137160</xdr:rowOff>
    </xdr:to>
    <xdr:sp macro="" textlink="">
      <xdr:nvSpPr>
        <xdr:cNvPr id="48" name="TextBox 47">
          <a:extLst>
            <a:ext uri="{FF2B5EF4-FFF2-40B4-BE49-F238E27FC236}">
              <a16:creationId xmlns:a16="http://schemas.microsoft.com/office/drawing/2014/main" id="{D3F16AFA-C2AE-C09F-5181-E3B52695AA01}"/>
            </a:ext>
          </a:extLst>
        </xdr:cNvPr>
        <xdr:cNvSpPr txBox="1"/>
      </xdr:nvSpPr>
      <xdr:spPr>
        <a:xfrm>
          <a:off x="1242060" y="594360"/>
          <a:ext cx="319278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Monthly Report</a:t>
          </a:r>
        </a:p>
      </xdr:txBody>
    </xdr:sp>
    <xdr:clientData/>
  </xdr:twoCellAnchor>
  <xdr:twoCellAnchor editAs="oneCell">
    <xdr:from>
      <xdr:col>0</xdr:col>
      <xdr:colOff>106680</xdr:colOff>
      <xdr:row>6</xdr:row>
      <xdr:rowOff>83820</xdr:rowOff>
    </xdr:from>
    <xdr:to>
      <xdr:col>1</xdr:col>
      <xdr:colOff>365760</xdr:colOff>
      <xdr:row>25</xdr:row>
      <xdr:rowOff>175260</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49A9A3C9-F330-4A4E-B82C-6E241851BEB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6680" y="1181100"/>
              <a:ext cx="868680" cy="356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434340</xdr:colOff>
      <xdr:row>9</xdr:row>
      <xdr:rowOff>0</xdr:rowOff>
    </xdr:from>
    <xdr:to>
      <xdr:col>4</xdr:col>
      <xdr:colOff>198120</xdr:colOff>
      <xdr:row>11</xdr:row>
      <xdr:rowOff>45720</xdr:rowOff>
    </xdr:to>
    <xdr:graphicFrame macro="">
      <xdr:nvGraphicFramePr>
        <xdr:cNvPr id="6" name="Chart 5">
          <a:hlinkClick xmlns:r="http://schemas.openxmlformats.org/officeDocument/2006/relationships" r:id="rId8"/>
          <a:extLst>
            <a:ext uri="{FF2B5EF4-FFF2-40B4-BE49-F238E27FC236}">
              <a16:creationId xmlns:a16="http://schemas.microsoft.com/office/drawing/2014/main" id="{8D6CED64-0443-436E-81AB-795928B82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342900</xdr:colOff>
      <xdr:row>8</xdr:row>
      <xdr:rowOff>121920</xdr:rowOff>
    </xdr:from>
    <xdr:to>
      <xdr:col>7</xdr:col>
      <xdr:colOff>99060</xdr:colOff>
      <xdr:row>11</xdr:row>
      <xdr:rowOff>45720</xdr:rowOff>
    </xdr:to>
    <xdr:graphicFrame macro="">
      <xdr:nvGraphicFramePr>
        <xdr:cNvPr id="7" name="Chart 6">
          <a:hlinkClick xmlns:r="http://schemas.openxmlformats.org/officeDocument/2006/relationships" r:id="rId10"/>
          <a:extLst>
            <a:ext uri="{FF2B5EF4-FFF2-40B4-BE49-F238E27FC236}">
              <a16:creationId xmlns:a16="http://schemas.microsoft.com/office/drawing/2014/main" id="{172CEF7C-38FB-4C5C-8757-5DE1D8C4C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236220</xdr:colOff>
      <xdr:row>9</xdr:row>
      <xdr:rowOff>7620</xdr:rowOff>
    </xdr:from>
    <xdr:to>
      <xdr:col>10</xdr:col>
      <xdr:colOff>15240</xdr:colOff>
      <xdr:row>11</xdr:row>
      <xdr:rowOff>60960</xdr:rowOff>
    </xdr:to>
    <xdr:graphicFrame macro="">
      <xdr:nvGraphicFramePr>
        <xdr:cNvPr id="9" name="Chart 8">
          <a:hlinkClick xmlns:r="http://schemas.openxmlformats.org/officeDocument/2006/relationships" r:id="rId12"/>
          <a:extLst>
            <a:ext uri="{FF2B5EF4-FFF2-40B4-BE49-F238E27FC236}">
              <a16:creationId xmlns:a16="http://schemas.microsoft.com/office/drawing/2014/main" id="{BC5B106E-651F-415B-8090-BC899FC7F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457200</xdr:colOff>
          <xdr:row>11</xdr:row>
          <xdr:rowOff>144780</xdr:rowOff>
        </xdr:from>
        <xdr:to>
          <xdr:col>10</xdr:col>
          <xdr:colOff>38100</xdr:colOff>
          <xdr:row>16</xdr:row>
          <xdr:rowOff>99060</xdr:rowOff>
        </xdr:to>
        <xdr:pic>
          <xdr:nvPicPr>
            <xdr:cNvPr id="52" name="Picture 51">
              <a:extLst>
                <a:ext uri="{FF2B5EF4-FFF2-40B4-BE49-F238E27FC236}">
                  <a16:creationId xmlns:a16="http://schemas.microsoft.com/office/drawing/2014/main" id="{F7E6DD92-D297-85B6-8751-976D4C6D511A}"/>
                </a:ext>
              </a:extLst>
            </xdr:cNvPr>
            <xdr:cNvPicPr>
              <a:picLocks noChangeAspect="1" noChangeArrowheads="1"/>
              <a:extLst>
                <a:ext uri="{84589F7E-364E-4C9E-8A38-B11213B215E9}">
                  <a14:cameraTool cellRange="'Pivot Report'!$A$47:$D$49" spid="_x0000_s2086"/>
                </a:ext>
              </a:extLst>
            </xdr:cNvPicPr>
          </xdr:nvPicPr>
          <xdr:blipFill>
            <a:blip xmlns:r="http://schemas.openxmlformats.org/officeDocument/2006/relationships" r:embed="rId14"/>
            <a:srcRect/>
            <a:stretch>
              <a:fillRect/>
            </a:stretch>
          </xdr:blipFill>
          <xdr:spPr bwMode="auto">
            <a:xfrm>
              <a:off x="1066800" y="2156460"/>
              <a:ext cx="5067300" cy="868680"/>
            </a:xfrm>
            <a:prstGeom prst="roundRect">
              <a:avLst>
                <a:gd name="adj" fmla="val 16667"/>
              </a:avLst>
            </a:prstGeom>
            <a:solidFill>
              <a:schemeClr val="accent1">
                <a:lumMod val="60000"/>
                <a:lumOff val="40000"/>
              </a:schemeClr>
            </a:solidFill>
            <a:ln>
              <a:noFill/>
            </a:ln>
            <a:effectLst>
              <a:outerShdw blurRad="76200" dist="38100" dir="7800000" algn="tl" rotWithShape="0">
                <a:srgbClr val="000000">
                  <a:alpha val="40000"/>
                </a:srgbClr>
              </a:outerShdw>
            </a:effectLst>
          </xdr:spPr>
        </xdr:pic>
        <xdr:clientData/>
      </xdr:twoCellAnchor>
    </mc:Choice>
    <mc:Fallback/>
  </mc:AlternateContent>
  <xdr:twoCellAnchor>
    <xdr:from>
      <xdr:col>1</xdr:col>
      <xdr:colOff>556260</xdr:colOff>
      <xdr:row>17</xdr:row>
      <xdr:rowOff>53340</xdr:rowOff>
    </xdr:from>
    <xdr:to>
      <xdr:col>9</xdr:col>
      <xdr:colOff>571500</xdr:colOff>
      <xdr:row>25</xdr:row>
      <xdr:rowOff>68580</xdr:rowOff>
    </xdr:to>
    <xdr:graphicFrame macro="">
      <xdr:nvGraphicFramePr>
        <xdr:cNvPr id="53" name="Chart 52">
          <a:extLst>
            <a:ext uri="{FF2B5EF4-FFF2-40B4-BE49-F238E27FC236}">
              <a16:creationId xmlns:a16="http://schemas.microsoft.com/office/drawing/2014/main" id="{AB916D62-48FF-4EB0-9DB4-65CDDCFF9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556260</xdr:colOff>
      <xdr:row>25</xdr:row>
      <xdr:rowOff>121920</xdr:rowOff>
    </xdr:from>
    <xdr:to>
      <xdr:col>6</xdr:col>
      <xdr:colOff>449580</xdr:colOff>
      <xdr:row>27</xdr:row>
      <xdr:rowOff>60960</xdr:rowOff>
    </xdr:to>
    <xdr:sp macro="" textlink="">
      <xdr:nvSpPr>
        <xdr:cNvPr id="55" name="TextBox 54">
          <a:extLst>
            <a:ext uri="{FF2B5EF4-FFF2-40B4-BE49-F238E27FC236}">
              <a16:creationId xmlns:a16="http://schemas.microsoft.com/office/drawing/2014/main" id="{1A26638F-F0DA-4792-9A9F-6DBC0B6C47E7}"/>
            </a:ext>
          </a:extLst>
        </xdr:cNvPr>
        <xdr:cNvSpPr txBox="1"/>
      </xdr:nvSpPr>
      <xdr:spPr>
        <a:xfrm>
          <a:off x="2385060" y="4693920"/>
          <a:ext cx="1722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No.</a:t>
          </a:r>
          <a:r>
            <a:rPr lang="en-US" sz="1100" b="1" i="0" u="none" strike="noStrike" baseline="0">
              <a:solidFill>
                <a:srgbClr val="000000"/>
              </a:solidFill>
              <a:latin typeface="Aptos Narrow"/>
            </a:rPr>
            <a:t> of Patient by Age Group</a:t>
          </a:r>
          <a:endParaRPr lang="en-US" sz="1100" b="1" i="0" u="none" strike="noStrike">
            <a:solidFill>
              <a:srgbClr val="000000"/>
            </a:solidFill>
            <a:latin typeface="Aptos Narrow"/>
          </a:endParaRPr>
        </a:p>
      </xdr:txBody>
    </xdr:sp>
    <xdr:clientData/>
  </xdr:twoCellAnchor>
  <xdr:twoCellAnchor>
    <xdr:from>
      <xdr:col>10</xdr:col>
      <xdr:colOff>190500</xdr:colOff>
      <xdr:row>0</xdr:row>
      <xdr:rowOff>91440</xdr:rowOff>
    </xdr:from>
    <xdr:to>
      <xdr:col>14</xdr:col>
      <xdr:colOff>7620</xdr:colOff>
      <xdr:row>10</xdr:row>
      <xdr:rowOff>0</xdr:rowOff>
    </xdr:to>
    <xdr:graphicFrame macro="">
      <xdr:nvGraphicFramePr>
        <xdr:cNvPr id="56" name="Chart 55">
          <a:extLst>
            <a:ext uri="{FF2B5EF4-FFF2-40B4-BE49-F238E27FC236}">
              <a16:creationId xmlns:a16="http://schemas.microsoft.com/office/drawing/2014/main" id="{F979BE50-F8E2-4797-80A8-521DA64B4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129540</xdr:colOff>
      <xdr:row>0</xdr:row>
      <xdr:rowOff>91440</xdr:rowOff>
    </xdr:from>
    <xdr:to>
      <xdr:col>17</xdr:col>
      <xdr:colOff>533400</xdr:colOff>
      <xdr:row>9</xdr:row>
      <xdr:rowOff>160020</xdr:rowOff>
    </xdr:to>
    <xdr:graphicFrame macro="">
      <xdr:nvGraphicFramePr>
        <xdr:cNvPr id="5" name="Chart 4">
          <a:extLst>
            <a:ext uri="{FF2B5EF4-FFF2-40B4-BE49-F238E27FC236}">
              <a16:creationId xmlns:a16="http://schemas.microsoft.com/office/drawing/2014/main" id="{338AAE9E-AD4F-40C2-9199-4FC2FCE6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22860</xdr:colOff>
      <xdr:row>9</xdr:row>
      <xdr:rowOff>0</xdr:rowOff>
    </xdr:from>
    <xdr:to>
      <xdr:col>13</xdr:col>
      <xdr:colOff>541020</xdr:colOff>
      <xdr:row>10</xdr:row>
      <xdr:rowOff>121920</xdr:rowOff>
    </xdr:to>
    <xdr:sp macro="" textlink="">
      <xdr:nvSpPr>
        <xdr:cNvPr id="8" name="TextBox 7">
          <a:extLst>
            <a:ext uri="{FF2B5EF4-FFF2-40B4-BE49-F238E27FC236}">
              <a16:creationId xmlns:a16="http://schemas.microsoft.com/office/drawing/2014/main" id="{956C3AE8-C176-441D-AC4B-468AC1F85620}"/>
            </a:ext>
          </a:extLst>
        </xdr:cNvPr>
        <xdr:cNvSpPr txBox="1"/>
      </xdr:nvSpPr>
      <xdr:spPr>
        <a:xfrm>
          <a:off x="6728460" y="1645920"/>
          <a:ext cx="17373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Patient</a:t>
          </a:r>
          <a:r>
            <a:rPr lang="en-US" sz="1100" b="1" i="0" u="none" strike="noStrike" baseline="0">
              <a:solidFill>
                <a:srgbClr val="000000"/>
              </a:solidFill>
              <a:latin typeface="Aptos Narrow"/>
            </a:rPr>
            <a:t> Attended within Time</a:t>
          </a:r>
          <a:endParaRPr lang="en-US" sz="1100" b="1" i="0" u="none" strike="noStrike">
            <a:solidFill>
              <a:srgbClr val="000000"/>
            </a:solidFill>
            <a:latin typeface="Aptos Narrow"/>
          </a:endParaRPr>
        </a:p>
      </xdr:txBody>
    </xdr:sp>
    <xdr:clientData/>
  </xdr:twoCellAnchor>
  <xdr:twoCellAnchor>
    <xdr:from>
      <xdr:col>15</xdr:col>
      <xdr:colOff>91440</xdr:colOff>
      <xdr:row>9</xdr:row>
      <xdr:rowOff>15240</xdr:rowOff>
    </xdr:from>
    <xdr:to>
      <xdr:col>17</xdr:col>
      <xdr:colOff>350520</xdr:colOff>
      <xdr:row>10</xdr:row>
      <xdr:rowOff>137160</xdr:rowOff>
    </xdr:to>
    <xdr:sp macro="" textlink="">
      <xdr:nvSpPr>
        <xdr:cNvPr id="10" name="TextBox 9">
          <a:extLst>
            <a:ext uri="{FF2B5EF4-FFF2-40B4-BE49-F238E27FC236}">
              <a16:creationId xmlns:a16="http://schemas.microsoft.com/office/drawing/2014/main" id="{708869D2-C2F5-4D58-81F3-5FDA77F4457E}"/>
            </a:ext>
          </a:extLst>
        </xdr:cNvPr>
        <xdr:cNvSpPr txBox="1"/>
      </xdr:nvSpPr>
      <xdr:spPr>
        <a:xfrm>
          <a:off x="9235440" y="1661160"/>
          <a:ext cx="14782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No.</a:t>
          </a:r>
          <a:r>
            <a:rPr lang="en-US" sz="1100" b="1" i="0" u="none" strike="noStrike" baseline="0">
              <a:solidFill>
                <a:srgbClr val="000000"/>
              </a:solidFill>
              <a:latin typeface="Aptos Narrow"/>
            </a:rPr>
            <a:t> of Patient by Gender</a:t>
          </a:r>
          <a:endParaRPr lang="en-US" sz="1100" b="1" i="0" u="none" strike="noStrike">
            <a:solidFill>
              <a:srgbClr val="000000"/>
            </a:solidFill>
            <a:latin typeface="Aptos Narrow"/>
          </a:endParaRPr>
        </a:p>
      </xdr:txBody>
    </xdr:sp>
    <xdr:clientData/>
  </xdr:twoCellAnchor>
  <xdr:twoCellAnchor>
    <xdr:from>
      <xdr:col>10</xdr:col>
      <xdr:colOff>335280</xdr:colOff>
      <xdr:row>11</xdr:row>
      <xdr:rowOff>15240</xdr:rowOff>
    </xdr:from>
    <xdr:to>
      <xdr:col>17</xdr:col>
      <xdr:colOff>426720</xdr:colOff>
      <xdr:row>25</xdr:row>
      <xdr:rowOff>38100</xdr:rowOff>
    </xdr:to>
    <xdr:graphicFrame macro="">
      <xdr:nvGraphicFramePr>
        <xdr:cNvPr id="12" name="Chart 11">
          <a:extLst>
            <a:ext uri="{FF2B5EF4-FFF2-40B4-BE49-F238E27FC236}">
              <a16:creationId xmlns:a16="http://schemas.microsoft.com/office/drawing/2014/main" id="{A7FDFFDF-CADF-4D91-B51E-ADC0CD123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388620</xdr:colOff>
      <xdr:row>25</xdr:row>
      <xdr:rowOff>22860</xdr:rowOff>
    </xdr:from>
    <xdr:to>
      <xdr:col>15</xdr:col>
      <xdr:colOff>434340</xdr:colOff>
      <xdr:row>26</xdr:row>
      <xdr:rowOff>144780</xdr:rowOff>
    </xdr:to>
    <xdr:sp macro="" textlink="">
      <xdr:nvSpPr>
        <xdr:cNvPr id="13" name="TextBox 12">
          <a:extLst>
            <a:ext uri="{FF2B5EF4-FFF2-40B4-BE49-F238E27FC236}">
              <a16:creationId xmlns:a16="http://schemas.microsoft.com/office/drawing/2014/main" id="{DBAFC281-367A-43DF-9EF2-4FBAC16F0942}"/>
            </a:ext>
          </a:extLst>
        </xdr:cNvPr>
        <xdr:cNvSpPr txBox="1"/>
      </xdr:nvSpPr>
      <xdr:spPr>
        <a:xfrm>
          <a:off x="7094220" y="4594860"/>
          <a:ext cx="2484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i="0" u="none" strike="noStrike">
              <a:solidFill>
                <a:srgbClr val="000000"/>
              </a:solidFill>
              <a:latin typeface="Aptos Narrow"/>
            </a:rPr>
            <a:t>No. of Patient</a:t>
          </a:r>
          <a:r>
            <a:rPr lang="en-US" sz="1100" b="1" i="0" u="none" strike="noStrike" baseline="0">
              <a:solidFill>
                <a:srgbClr val="000000"/>
              </a:solidFill>
              <a:latin typeface="Aptos Narrow"/>
            </a:rPr>
            <a:t> by Department Referral</a:t>
          </a:r>
          <a:endParaRPr lang="en-US" sz="1100" b="1" i="0" u="none" strike="noStrike">
            <a:solidFill>
              <a:srgbClr val="000000"/>
            </a:solidFill>
            <a:latin typeface="Aptos Narrow"/>
          </a:endParaRPr>
        </a:p>
      </xdr:txBody>
    </xdr:sp>
    <xdr:clientData/>
  </xdr:twoCellAnchor>
  <xdr:twoCellAnchor editAs="oneCell">
    <xdr:from>
      <xdr:col>7</xdr:col>
      <xdr:colOff>586740</xdr:colOff>
      <xdr:row>0</xdr:row>
      <xdr:rowOff>121920</xdr:rowOff>
    </xdr:from>
    <xdr:to>
      <xdr:col>9</xdr:col>
      <xdr:colOff>563880</xdr:colOff>
      <xdr:row>4</xdr:row>
      <xdr:rowOff>106679</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65DB11F8-F5C5-497A-B635-30EDB26551C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53940" y="121920"/>
              <a:ext cx="119634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167640</xdr:colOff>
      <xdr:row>2</xdr:row>
      <xdr:rowOff>99060</xdr:rowOff>
    </xdr:from>
    <xdr:to>
      <xdr:col>15</xdr:col>
      <xdr:colOff>487680</xdr:colOff>
      <xdr:row>24</xdr:row>
      <xdr:rowOff>129540</xdr:rowOff>
    </xdr:to>
    <xdr:graphicFrame macro="">
      <xdr:nvGraphicFramePr>
        <xdr:cNvPr id="2" name="Chart 1">
          <a:extLst>
            <a:ext uri="{FF2B5EF4-FFF2-40B4-BE49-F238E27FC236}">
              <a16:creationId xmlns:a16="http://schemas.microsoft.com/office/drawing/2014/main" id="{BCC09B3D-C843-495F-91BD-350DC0A72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2</xdr:row>
      <xdr:rowOff>0</xdr:rowOff>
    </xdr:from>
    <xdr:to>
      <xdr:col>17</xdr:col>
      <xdr:colOff>68580</xdr:colOff>
      <xdr:row>5</xdr:row>
      <xdr:rowOff>99060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98E965C8-8DD9-4CD2-BA0D-CCAFFFB074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753600" y="365760"/>
          <a:ext cx="678180" cy="647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182880</xdr:colOff>
      <xdr:row>3</xdr:row>
      <xdr:rowOff>144780</xdr:rowOff>
    </xdr:from>
    <xdr:to>
      <xdr:col>14</xdr:col>
      <xdr:colOff>205740</xdr:colOff>
      <xdr:row>24</xdr:row>
      <xdr:rowOff>99060</xdr:rowOff>
    </xdr:to>
    <xdr:graphicFrame macro="">
      <xdr:nvGraphicFramePr>
        <xdr:cNvPr id="4" name="Chart 3">
          <a:extLst>
            <a:ext uri="{FF2B5EF4-FFF2-40B4-BE49-F238E27FC236}">
              <a16:creationId xmlns:a16="http://schemas.microsoft.com/office/drawing/2014/main" id="{AC581624-336D-4AF8-8339-C5D0BBBAE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228600</xdr:colOff>
      <xdr:row>0</xdr:row>
      <xdr:rowOff>76200</xdr:rowOff>
    </xdr:from>
    <xdr:to>
      <xdr:col>15</xdr:col>
      <xdr:colOff>297180</xdr:colOff>
      <xdr:row>3</xdr:row>
      <xdr:rowOff>175260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3C8310C-216D-C027-25BF-7F551D89FA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63000" y="76200"/>
          <a:ext cx="678180"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0</xdr:colOff>
      <xdr:row>2</xdr:row>
      <xdr:rowOff>0</xdr:rowOff>
    </xdr:from>
    <xdr:to>
      <xdr:col>17</xdr:col>
      <xdr:colOff>68580</xdr:colOff>
      <xdr:row>5</xdr:row>
      <xdr:rowOff>99060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094FAC91-6D1C-4AB9-8CC4-CB8FD6BBA5F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753600" y="365760"/>
          <a:ext cx="678180" cy="647700"/>
        </a:xfrm>
        <a:prstGeom prst="rect">
          <a:avLst/>
        </a:prstGeom>
      </xdr:spPr>
    </xdr:pic>
    <xdr:clientData/>
  </xdr:twoCellAnchor>
  <xdr:twoCellAnchor>
    <xdr:from>
      <xdr:col>1</xdr:col>
      <xdr:colOff>365760</xdr:colOff>
      <xdr:row>3</xdr:row>
      <xdr:rowOff>30480</xdr:rowOff>
    </xdr:from>
    <xdr:to>
      <xdr:col>15</xdr:col>
      <xdr:colOff>60960</xdr:colOff>
      <xdr:row>24</xdr:row>
      <xdr:rowOff>121920</xdr:rowOff>
    </xdr:to>
    <xdr:graphicFrame macro="">
      <xdr:nvGraphicFramePr>
        <xdr:cNvPr id="5" name="Chart 4">
          <a:extLst>
            <a:ext uri="{FF2B5EF4-FFF2-40B4-BE49-F238E27FC236}">
              <a16:creationId xmlns:a16="http://schemas.microsoft.com/office/drawing/2014/main" id="{78606809-B7B2-4B9D-BF71-507C1AED6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1319448" createdVersion="5" refreshedVersion="8" minRefreshableVersion="3" recordCount="0" supportSubquery="1" supportAdvancedDrill="1" xr:uid="{858096A2-0808-4C09-BBB7-537200696CBC}">
  <cacheSource type="external" connectionId="3"/>
  <cacheFields count="4">
    <cacheField name="[Measures].[Distinct Count of Patient Id]" caption="Distinct Count of Patient Id" numFmtId="0" hierarchy="24" level="32767"/>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2"/>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1"/>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1550925" createdVersion="5" refreshedVersion="8" minRefreshableVersion="3" recordCount="0" supportSubquery="1" supportAdvancedDrill="1" xr:uid="{549CAC0B-A529-40B8-B0E3-8D378CE1CB7A}">
  <cacheSource type="external" connectionId="3"/>
  <cacheFields count="3">
    <cacheField name="[Measures].[Distinct Count of Patient Id]" caption="Distinct Count of Patient Id" numFmtId="0" hierarchy="24"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1666663" createdVersion="5" refreshedVersion="8" minRefreshableVersion="3" recordCount="0" supportSubquery="1" supportAdvancedDrill="1" xr:uid="{9E55429C-E0A9-41FA-B805-7F29767D58BB}">
  <cacheSource type="external" connectionId="3"/>
  <cacheFields count="3">
    <cacheField name="[Measures].[Average of Patient Waittime]" caption="Average of Patient Waittime" numFmtId="0" hierarchy="26"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1782409" createdVersion="5" refreshedVersion="8" minRefreshableVersion="3" recordCount="0" supportSubquery="1" supportAdvancedDrill="1" xr:uid="{745D3B85-B355-4654-85F0-6A061C534E89}">
  <cacheSource type="external" connectionId="3"/>
  <cacheFields count="3">
    <cacheField name="[Measures].[Average of Patient Satisfaction Score]" caption="Average of Patient Satisfaction Score" numFmtId="0" hierarchy="28" level="32767"/>
    <cacheField name="[Calender].[Date (Month)].[Date (Month)]" caption="Date (Month)" numFmtId="0" hierarchy="1" level="1">
      <sharedItems containsSemiMixedTypes="0" containsNonDate="0" containsString="0"/>
    </cacheField>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2"/>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2129633" createdVersion="5" refreshedVersion="8" minRefreshableVersion="3" recordCount="0" supportSubquery="1" supportAdvancedDrill="1" xr:uid="{F57D464D-7992-4097-B2BE-4C1B62786DE1}">
  <cacheSource type="external" connectionId="3"/>
  <cacheFields count="4">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2708333" createdVersion="5" refreshedVersion="8" minRefreshableVersion="3" recordCount="0" supportSubquery="1" supportAdvancedDrill="1" xr:uid="{AD2F9407-6612-4C2E-87E3-42D4072838E8}">
  <cacheSource type="external" connectionId="3"/>
  <cacheFields count="4">
    <cacheField name="[Calender].[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1"/>
      </fieldsUsage>
    </cacheHierarchy>
    <cacheHierarchy uniqueName="[Calender].[Date (Day)]" caption="Date (Day)" attribute="1" defaultMemberUniqueName="[Calender].[Date (Day)].[All]" allUniqueName="[Calender].[Date (Day)].[All]" dimensionUniqueName="[Calender]" displayFolder="" count="2" memberValueDatatype="130" unbalanced="0">
      <fieldsUsage count="2">
        <fieldUsage x="-1"/>
        <fieldUsage x="0"/>
      </fieldsUsage>
    </cacheHierarchy>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3171295" createdVersion="5" refreshedVersion="8" minRefreshableVersion="3" recordCount="0" supportSubquery="1" supportAdvancedDrill="1" xr:uid="{07BE8B0A-1384-421F-80D3-B01029C9DA3A}">
  <cacheSource type="external" connectionId="3"/>
  <cacheFields count="5">
    <cacheField name="[Calender].[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3518518" createdVersion="5" refreshedVersion="8" minRefreshableVersion="3" recordCount="0" supportSubquery="1" supportAdvancedDrill="1" xr:uid="{D2D247FB-D922-4A90-82A4-C6D804760FD9}">
  <cacheSource type="external" connectionId="3"/>
  <cacheFields count="4">
    <cacheField name="[Calender].[Date (Month)].[Date (Month)]" caption="Date (Month)" numFmtId="0" hierarchy="1" level="1">
      <sharedItems containsSemiMixedTypes="0" containsNonDate="0" containsString="0"/>
    </cacheField>
    <cacheField name="[Hospital Emergency Room Data].[Age Group].[Age Group]" caption="Age Group" numFmtId="0" hierarchy="16" level="1">
      <sharedItems count="8">
        <s v="0-10"/>
        <s v="11-20"/>
        <s v="21-30"/>
        <s v="31-40"/>
        <s v="41-50"/>
        <s v="51-60"/>
        <s v="61-70"/>
        <s v="71-80"/>
      </sharedItems>
    </cacheField>
    <cacheField name="[Measures].[Count of Age Group]" caption="Count of Age Group" numFmtId="0" hierarchy="32"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398148" createdVersion="5" refreshedVersion="8" minRefreshableVersion="3" recordCount="0" supportSubquery="1" supportAdvancedDrill="1" xr:uid="{9276AC18-E5E9-4E39-9BBA-3C598B0C67CC}">
  <cacheSource type="external" connectionId="3"/>
  <cacheFields count="3">
    <cacheField name="[Calender].[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4" level="32767"/>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4444442" createdVersion="5" refreshedVersion="8" minRefreshableVersion="3" recordCount="0" supportSubquery="1" supportAdvancedDrill="1" xr:uid="{EE39014D-7B42-4C13-BB2D-4183E6E550D8}">
  <cacheSource type="external" connectionId="3"/>
  <cacheFields count="4">
    <cacheField name="[Calender].[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4791665" createdVersion="5" refreshedVersion="8" minRefreshableVersion="3" recordCount="0" supportSubquery="1" supportAdvancedDrill="1" xr:uid="{39CE597E-D7F6-4958-963F-566B325C0259}">
  <cacheSource type="external" connectionId="3"/>
  <cacheFields count="4">
    <cacheField name="[Calender].[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Date (Year)].[Date (Year)]" caption="Date (Year)" numFmtId="0" hierarchy="3" level="1">
      <sharedItems containsSemiMixedTypes="0" containsNonDate="0" containsString="0"/>
    </cacheField>
  </cacheFields>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80.683045254627" createdVersion="5" refreshedVersion="8" minRefreshableVersion="3" recordCount="0" supportSubquery="1" supportAdvancedDrill="1" xr:uid="{BB125888-C499-41E5-8AAF-7EE0B82B62E2}">
  <cacheSource type="external" connectionId="3"/>
  <cacheFields count="4">
    <cacheField name="[Calender].[Date (Month)].[Date (Month)]" caption="Date (Month)" numFmtId="0" hierarchy="1" level="1">
      <sharedItems count="1">
        <s v="Dec"/>
      </sharedItems>
    </cacheField>
    <cacheField name="[Calender].[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Date (Quarter)].[Date (Quarter)]" caption="Date (Quarter)" numFmtId="0" hierarchy="4" level="1">
      <sharedItems count="1">
        <s v="Qtr4"/>
      </sharedItems>
    </cacheField>
    <cacheField name="[Calender].[Date (Year)].[Date (Year)]" caption="Date (Year)" numFmtId="0" hierarchy="3" level="1">
      <sharedItems count="1">
        <s v="2024"/>
      </sharedItems>
    </cacheField>
  </cacheFields>
  <cacheHierarchies count="37">
    <cacheHierarchy uniqueName="[Calender].[Date]" caption="Date" attribute="1" time="1" defaultMemberUniqueName="[Calender].[Date].[All]" allUniqueName="[Calender].[Date].[All]" dimensionUniqueName="[Calender]" displayFolder="" count="2" memberValueDatatype="7" unbalanced="0">
      <fieldsUsage count="2">
        <fieldUsage x="-1"/>
        <fieldUsage x="1"/>
      </fieldsUsage>
    </cacheHierarchy>
    <cacheHierarchy uniqueName="[Calender].[Date (Month)]" caption="Date (Month)" attribute="1" defaultMemberUniqueName="[Calender].[Date (Month)].[All]" allUniqueName="[Calender].[Date (Month)].[All]" dimensionUniqueName="[Calender]" displayFolder="" count="2" memberValueDatatype="130" unbalanced="0">
      <fieldsUsage count="2">
        <fieldUsage x="-1"/>
        <fieldUsage x="0"/>
      </fieldsUsage>
    </cacheHierarchy>
    <cacheHierarchy uniqueName="[Calender].[Date (Day)]" caption="Date (Day)" attribute="1" defaultMemberUniqueName="[Calender].[Date (Day)].[All]" allUniqueName="[Calender].[Date (Day)].[All]" dimensionUniqueName="[Calender]" displayFolder="" count="2" memberValueDatatype="130" unbalanced="0"/>
    <cacheHierarchy uniqueName="[Calender].[Date (Year)]" caption="Date (Year)" attribute="1" defaultMemberUniqueName="[Calender].[Date (Year)].[All]" allUniqueName="[Calender].[Date (Year)].[All]" dimensionUniqueName="[Calender]" displayFolder="" count="2" memberValueDatatype="130" unbalanced="0">
      <fieldsUsage count="2">
        <fieldUsage x="-1"/>
        <fieldUsage x="3"/>
      </fieldsUsage>
    </cacheHierarchy>
    <cacheHierarchy uniqueName="[Calender].[Date (Quarter)]" caption="Date (Quarter)" attribute="1" defaultMemberUniqueName="[Calender].[Date (Quarter)].[All]" allUniqueName="[Calender].[Date (Quarter)].[All]" dimensionUniqueName="[Calender]"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Date (Day Index)]" caption="Date (Day Index)" attribute="1" defaultMemberUniqueName="[Calender].[Date (Day Index)].[All]" allUniqueName="[Calender].[Date (Day Index)].[All]" dimensionUniqueName="[Calender]" displayFolder="" count="2" memberValueDatatype="5" unbalanced="0" hidden="1"/>
    <cacheHierarchy uniqueName="[Calender].[Date (Month Index)]" caption="Date (Month Index)" attribute="1" defaultMemberUniqueName="[Calender].[Date (Month Index)].[All]" allUniqueName="[Calender].[Date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40.706050578701" createdVersion="3" refreshedVersion="8" minRefreshableVersion="3" recordCount="0" supportSubquery="1" supportAdvancedDrill="1" xr:uid="{1B07D1C5-278C-40EB-95F3-DAD6359C1CA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2"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0"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4890515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mar" refreshedDate="46140.706967361111" createdVersion="3" refreshedVersion="8" minRefreshableVersion="3" recordCount="0" supportSubquery="1" supportAdvancedDrill="1" xr:uid="{77AA2164-3DB8-4AF5-B274-B9ED8A7ECF6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Date]" caption="Date" attribute="1" time="1" defaultMemberUniqueName="[Calender].[Date].[All]" allUniqueName="[Calender].[Date].[All]" dimensionUniqueName="[Calender]" displayFolder="" count="0" memberValueDatatype="7" unbalanced="0"/>
    <cacheHierarchy uniqueName="[Calender].[Date (Month)]" caption="Date (Month)" attribute="1" defaultMemberUniqueName="[Calender].[Date (Month)].[All]" allUniqueName="[Calender].[Date (Month)].[All]" dimensionUniqueName="[Calender]" displayFolder="" count="0" memberValueDatatype="130" unbalanced="0"/>
    <cacheHierarchy uniqueName="[Calender].[Date (Day)]" caption="Date (Day)" attribute="1" defaultMemberUniqueName="[Calender].[Date (Day)].[All]" allUniqueName="[Calender].[Date (Day)].[All]" dimensionUniqueName="[Calender]" displayFolder="" count="0" memberValueDatatype="130" unbalanced="0"/>
    <cacheHierarchy uniqueName="[Calender].[Date (Year)]" caption="Date (Year)" attribute="1" defaultMemberUniqueName="[Calender].[Date (Year)].[All]" allUniqueName="[Calender].[Date (Year)].[All]" dimensionUniqueName="[Calender]" displayFolder="" count="2" memberValueDatatype="130" unbalanced="0"/>
    <cacheHierarchy uniqueName="[Calender].[Date (Quarter)]" caption="Date (Quarter)" attribute="1" defaultMemberUniqueName="[Calender].[Date (Quarter)].[All]" allUniqueName="[Calender].[Date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Date (Day Index)]" caption="Date (Day Index)" attribute="1" defaultMemberUniqueName="[Calender].[Date (Day Index)].[All]" allUniqueName="[Calender].[Date (Day Index)].[All]" dimensionUniqueName="[Calender]" displayFolder="" count="0" memberValueDatatype="5" unbalanced="0" hidden="1"/>
    <cacheHierarchy uniqueName="[Calender].[Date (Month Index)]" caption="Date (Month Index)" attribute="1" defaultMemberUniqueName="[Calender].[Date (Month Index)].[All]" allUniqueName="[Calender].[Date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764841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DF9E4-A665-47CD-A21B-2EA40C908CF6}" name="PivotTable7" cacheId="1405" applyNumberFormats="0" applyBorderFormats="0" applyFontFormats="0" applyPatternFormats="0" applyAlignmentFormats="0" applyWidthHeightFormats="1" dataCaption="Values" tag="b0ad4fa7-c06b-4b04-a245-4fe6e9a51625" updatedVersion="8" minRefreshableVersion="3" subtotalHiddenItems="1" itemPrintTitles="1" createdVersion="5" indent="0" outline="1" outlineData="1" multipleFieldFilters="0" chartFormat="15">
  <location ref="C6:D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7BE44-39E6-4647-9CF2-B18068B9C913}" name="PivotTable3" cacheId="1414" applyNumberFormats="0" applyBorderFormats="0" applyFontFormats="0" applyPatternFormats="0" applyAlignmentFormats="0" applyWidthHeightFormats="1" dataCaption="Values" tag="70a55313-7477-4ebf-8680-0b2327f42779"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05">
      <pivotArea outline="0" collapsedLevelsAreSubtotals="1" fieldPosition="0"/>
    </format>
  </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D3771-82BD-453C-98C2-8E3FE4E6CAE1}" name="PivotTable10" cacheId="1420" applyNumberFormats="0" applyBorderFormats="0" applyFontFormats="0" applyPatternFormats="0" applyAlignmentFormats="0" applyWidthHeightFormats="1" dataCaption="Values" tag="b0ad4fa7-c06b-4b04-a245-4fe6e9a51625" updatedVersion="8" minRefreshableVersion="3" subtotalHiddenItems="1" itemPrintTitles="1" createdVersion="5" indent="0" outline="1" outlineData="1" multipleFieldFilters="0" chartFormat="34">
  <location ref="K8:L40"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chartFormats count="6">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50B652-FDB1-4D5D-9075-FF00DFD82933}" name="PivotTable1" cacheId="1408" applyNumberFormats="0" applyBorderFormats="0" applyFontFormats="0" applyPatternFormats="0" applyAlignmentFormats="0" applyWidthHeightFormats="1" dataCaption="Values" tag="b0ad4fa7-c06b-4b04-a245-4fe6e9a5162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B36AFB-2920-42B5-A715-B4C53A8385B7}" name="PivotTable8" cacheId="1417" applyNumberFormats="0" applyBorderFormats="0" applyFontFormats="0" applyPatternFormats="0" applyAlignmentFormats="0" applyWidthHeightFormats="1" dataCaption="Values" tag="b0ad4fa7-c06b-4b04-a245-4fe6e9a51625" updatedVersion="8" minRefreshableVersion="3" subtotalHiddenItems="1" itemPrintTitles="1" createdVersion="5" indent="0" outline="1" outlineData="1" multipleFieldFilters="0" chartFormat="26">
  <location ref="G7:H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chartFormats count="4">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4F7E8-706E-4776-8EF7-5A6B2EBD52B3}" name="PivotTable9" cacheId="1429" applyNumberFormats="0" applyBorderFormats="0" applyFontFormats="0" applyPatternFormats="0" applyAlignmentFormats="0" applyWidthHeightFormats="1" dataCaption="Values" tag="f42814b1-2592-4e4f-82c1-8bcdd80a1f51" updatedVersion="8" minRefreshableVersion="3" subtotalHiddenItems="1" itemPrintTitles="1" createdVersion="5" indent="0" outline="1" outlineData="1" multipleFieldFilters="0" chartFormat="20">
  <location ref="A67:B7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1">
    <format dxfId="406">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201479-4637-4963-80B6-56B2CD6C3B8A}" name="PivotTable12" cacheId="1438" applyNumberFormats="0" applyBorderFormats="0" applyFontFormats="0" applyPatternFormats="0" applyAlignmentFormats="0" applyWidthHeightFormats="1" dataCaption="Values" tag="f42814b1-2592-4e4f-82c1-8bcdd80a1f51" updatedVersion="8" minRefreshableVersion="3" subtotalHiddenItems="1" itemPrintTitles="1" createdVersion="5" indent="0" outline="1" outlineData="1" multipleFieldFilters="0" chartFormat="30">
  <location ref="A93:A9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07">
      <pivotArea outline="0" collapsedLevelsAreSubtotals="1" fieldPosition="0"/>
    </format>
  </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A053C5-4F45-46FD-99C4-ED627B6F3DA0}" name="PivotTable11" cacheId="1435" applyNumberFormats="0" applyBorderFormats="0" applyFontFormats="0" applyPatternFormats="0" applyAlignmentFormats="0" applyWidthHeightFormats="1" dataCaption="Values" tag="f42814b1-2592-4e4f-82c1-8bcdd80a1f51" updatedVersion="8" minRefreshableVersion="3" subtotalHiddenItems="1" itemPrintTitles="1" createdVersion="5" indent="0" outline="1" outlineData="1" multipleFieldFilters="0" chartFormat="31">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409">
      <pivotArea outline="0" collapsedLevelsAreSubtotals="1" fieldPosition="0"/>
    </format>
    <format dxfId="408">
      <pivotArea collapsedLevelsAreSubtotals="1" fieldPosition="0">
        <references count="1">
          <reference field="1" count="0"/>
        </references>
      </pivotArea>
    </format>
  </formats>
  <chartFormats count="1">
    <chartFormat chart="2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6008C8-BE6B-425C-BE73-97924FEE4AC4}" name="PivotTable4" cacheId="1423" applyNumberFormats="0" applyBorderFormats="0" applyFontFormats="0" applyPatternFormats="0" applyAlignmentFormats="0" applyWidthHeightFormats="1" dataCaption="Values" tag="63d74f29-2656-48f6-b6c9-cd6c3084502d" updatedVersion="8" minRefreshableVersion="3" subtotalHiddenItems="1" itemPrintTitles="1" createdVersion="5" indent="0" outline="1" outlineData="1" multipleFieldFilters="0" chartFormat="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1"/>
        </ext>
      </extLst>
    </dataField>
  </dataFields>
  <formats count="3">
    <format dxfId="412">
      <pivotArea outline="0" collapsedLevelsAreSubtotals="1" fieldPosition="0"/>
    </format>
    <format dxfId="411">
      <pivotArea collapsedLevelsAreSubtotals="1" fieldPosition="0">
        <references count="1">
          <reference field="2" count="0"/>
        </references>
      </pivotArea>
    </format>
    <format dxfId="410">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8524B9-AF43-4D04-93B3-8FA90CF8E76B}" name="PivotTable6" cacheId="1426" applyNumberFormats="0" applyBorderFormats="0" applyFontFormats="0" applyPatternFormats="0" applyAlignmentFormats="0" applyWidthHeightFormats="1" dataCaption="Values" tag="b8644e71-233c-4573-81e9-6200e26f3966" updatedVersion="8" minRefreshableVersion="3" subtotalHiddenItems="1" itemPrintTitles="1" createdVersion="5" indent="0" outline="1" outlineData="1" multipleFieldFilters="0" chartFormat="9">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414">
      <pivotArea outline="0" collapsedLevelsAreSubtotals="1" fieldPosition="0"/>
    </format>
    <format dxfId="413">
      <pivotArea collapsedLevelsAreSubtotals="1" fieldPosition="0">
        <references count="1">
          <reference field="1" count="0"/>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5622B4-9225-487D-AE8B-7E07F6AE1B5A}" name="PivotTable5" cacheId="1432" applyNumberFormats="0" applyBorderFormats="0" applyFontFormats="0" applyPatternFormats="0" applyAlignmentFormats="0" applyWidthHeightFormats="1" dataCaption="Values" tag="f42814b1-2592-4e4f-82c1-8bcdd80a1f51" updatedVersion="8" minRefreshableVersion="3" subtotalHiddenItems="1" itemPrintTitles="1" createdVersion="5" indent="0" outline="1" outlineData="1" multipleFieldFilters="0" chartFormat="29">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415">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D04874-A51C-48B4-86D5-6904EAD3153E}" name="PivotTable2" cacheId="1411" applyNumberFormats="0" applyBorderFormats="0" applyFontFormats="0" applyPatternFormats="0" applyAlignmentFormats="0" applyWidthHeightFormats="1" dataCaption="Values" tag="9fe123a9-5534-47bb-88b3-c45b1650fa7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16">
      <pivotArea outline="0" collapsedLevelsAreSubtotals="1" fieldPosition="0"/>
    </format>
  </formats>
  <pivotHierarchies count="37">
    <pivotHierarchy dragToData="1"/>
    <pivotHierarchy multipleItemSelectionAllowed="1" dragToData="1">
      <members count="1" level="1">
        <member name="[Calender].[Date (Month)].&amp;[Jan]"/>
      </members>
    </pivotHierarchy>
    <pivotHierarchy dragToData="1"/>
    <pivotHierarchy multipleItemSelectionAllowed="1" dragToData="1">
      <members count="1" level="1">
        <member name="[Calender].[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DBC1960-68C5-43FD-9772-C4D15CB5E2AD}" sourceName="[Calender].[Date (Month)]">
  <pivotTables>
    <pivotTable tabId="1" name="PivotTable7"/>
    <pivotTable tabId="1" name="PivotTable1"/>
    <pivotTable tabId="1" name="PivotTable2"/>
    <pivotTable tabId="1" name="PivotTable3"/>
    <pivotTable tabId="1" name="PivotTable8"/>
    <pivotTable tabId="1" name="PivotTable10"/>
    <pivotTable tabId="1" name="PivotTable4"/>
    <pivotTable tabId="1" name="PivotTable6"/>
    <pivotTable tabId="1" name="PivotTable9"/>
    <pivotTable tabId="1" name="PivotTable5"/>
    <pivotTable tabId="1" name="PivotTable11"/>
    <pivotTable tabId="1" name="PivotTable12"/>
  </pivotTables>
  <data>
    <olap pivotCacheId="948905150">
      <levels count="2">
        <level uniqueName="[Calender].[Date (Month)].[(All)]" sourceCaption="(All)" count="0"/>
        <level uniqueName="[Calender].[Date (Month)].[Date (Month)]" sourceCaption="Date (Month)" count="12">
          <ranges>
            <range startItem="0">
              <i n="[Calender].[Date (Month)].&amp;[Jan]" c="Jan"/>
              <i n="[Calender].[Date (Month)].&amp;[Feb]" c="Feb"/>
              <i n="[Calender].[Date (Month)].&amp;[Mar]" c="Mar"/>
              <i n="[Calender].[Date (Month)].&amp;[Apr]" c="Apr"/>
              <i n="[Calender].[Date (Month)].&amp;[May]" c="May"/>
              <i n="[Calender].[Date (Month)].&amp;[Jun]" c="Jun"/>
              <i n="[Calender].[Date (Month)].&amp;[Jul]" c="Jul"/>
              <i n="[Calender].[Date (Month)].&amp;[Aug]" c="Aug"/>
              <i n="[Calender].[Date (Month)].&amp;[Sep]" c="Sep"/>
              <i n="[Calender].[Date (Month)].&amp;[Oct]" c="Oct"/>
              <i n="[Calender].[Date (Month)].&amp;[Nov]" c="Nov"/>
              <i n="[Calender].[Date (Month)].&amp;[Dec]" c="Dec"/>
            </range>
          </ranges>
        </level>
      </levels>
      <selections count="1">
        <selection n="[Calender].[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DF5141E-FF49-4635-8EC1-7A7B461F71EF}" sourceName="[Calender].[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s>
  <data>
    <olap pivotCacheId="1076484154">
      <levels count="2">
        <level uniqueName="[Calender].[Date (Year)].[(All)]" sourceCaption="(All)" count="0"/>
        <level uniqueName="[Calender].[Date (Year)].[Date (Year)]" sourceCaption="Date (Year)" count="2">
          <ranges>
            <range startItem="0">
              <i n="[Calender].[Date (Year)].&amp;[2023]" c="2023"/>
              <i n="[Calender].[Date (Year)].&amp;[2024]" c="2024"/>
            </range>
          </ranges>
        </level>
      </levels>
      <selections count="1">
        <selection n="[Calender].[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072B1B2-AD93-4B9F-A230-5370B24FA2BE}" cache="Slicer_Date__Month" caption="Date (Month)" showCaption="0" level="1" style="My Style" rowHeight="247650"/>
  <slicer name="Date (Year)" xr10:uid="{361D09C6-26FA-49CE-8836-C02DA7D5515F}" cache="Slicer_Date__Year" caption="Date (Year)"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8D2D5-36D4-456C-8A31-F521088AD10D}">
  <dimension ref="A4:L95"/>
  <sheetViews>
    <sheetView workbookViewId="0">
      <selection activeCell="I45" sqref="I45"/>
    </sheetView>
  </sheetViews>
  <sheetFormatPr defaultRowHeight="14.4" x14ac:dyDescent="0.3"/>
  <cols>
    <col min="1" max="1" width="31.77734375" bestFit="1" customWidth="1"/>
    <col min="2" max="2" width="18.77734375" customWidth="1"/>
    <col min="3" max="3" width="25.109375" customWidth="1"/>
    <col min="4" max="4" width="25.33203125" customWidth="1"/>
    <col min="8" max="8" width="24.21875" bestFit="1" customWidth="1"/>
    <col min="12" max="12" width="31.77734375" bestFit="1" customWidth="1"/>
  </cols>
  <sheetData>
    <row r="4" spans="1:12" x14ac:dyDescent="0.3">
      <c r="A4" t="s">
        <v>0</v>
      </c>
    </row>
    <row r="5" spans="1:12" x14ac:dyDescent="0.3">
      <c r="A5" s="8">
        <v>513</v>
      </c>
    </row>
    <row r="6" spans="1:12" x14ac:dyDescent="0.3">
      <c r="C6" s="1" t="s">
        <v>3</v>
      </c>
      <c r="D6" t="s">
        <v>0</v>
      </c>
    </row>
    <row r="7" spans="1:12" x14ac:dyDescent="0.3">
      <c r="C7" s="3" t="s">
        <v>38</v>
      </c>
      <c r="D7" s="8">
        <v>19</v>
      </c>
      <c r="G7" s="1" t="s">
        <v>3</v>
      </c>
      <c r="H7" t="s">
        <v>1</v>
      </c>
    </row>
    <row r="8" spans="1:12" x14ac:dyDescent="0.3">
      <c r="A8" t="s">
        <v>1</v>
      </c>
      <c r="C8" s="3" t="s">
        <v>39</v>
      </c>
      <c r="D8" s="8">
        <v>14</v>
      </c>
      <c r="G8" s="3" t="s">
        <v>38</v>
      </c>
      <c r="H8" s="8">
        <v>37.789473684210527</v>
      </c>
      <c r="K8" s="1" t="s">
        <v>3</v>
      </c>
      <c r="L8" t="s">
        <v>2</v>
      </c>
    </row>
    <row r="9" spans="1:12" x14ac:dyDescent="0.3">
      <c r="A9" s="2">
        <v>36.323586744639378</v>
      </c>
      <c r="C9" s="3" t="s">
        <v>40</v>
      </c>
      <c r="D9" s="8">
        <v>13</v>
      </c>
      <c r="G9" s="3" t="s">
        <v>39</v>
      </c>
      <c r="H9" s="8">
        <v>38.214285714285715</v>
      </c>
      <c r="K9" s="3" t="s">
        <v>38</v>
      </c>
      <c r="L9" s="2">
        <v>6.666666666666667</v>
      </c>
    </row>
    <row r="10" spans="1:12" x14ac:dyDescent="0.3">
      <c r="C10" s="3" t="s">
        <v>41</v>
      </c>
      <c r="D10" s="8">
        <v>22</v>
      </c>
      <c r="G10" s="3" t="s">
        <v>40</v>
      </c>
      <c r="H10" s="8">
        <v>40.92307692307692</v>
      </c>
      <c r="K10" s="3" t="s">
        <v>39</v>
      </c>
      <c r="L10" s="2">
        <v>3.5</v>
      </c>
    </row>
    <row r="11" spans="1:12" x14ac:dyDescent="0.3">
      <c r="C11" s="3" t="s">
        <v>42</v>
      </c>
      <c r="D11" s="8">
        <v>19</v>
      </c>
      <c r="G11" s="3" t="s">
        <v>41</v>
      </c>
      <c r="H11" s="8">
        <v>34.5</v>
      </c>
      <c r="K11" s="3" t="s">
        <v>40</v>
      </c>
      <c r="L11" s="2">
        <v>4.5</v>
      </c>
    </row>
    <row r="12" spans="1:12" x14ac:dyDescent="0.3">
      <c r="A12" t="s">
        <v>2</v>
      </c>
      <c r="C12" s="3" t="s">
        <v>43</v>
      </c>
      <c r="D12" s="8">
        <v>15</v>
      </c>
      <c r="G12" s="3" t="s">
        <v>42</v>
      </c>
      <c r="H12" s="8">
        <v>30.684210526315791</v>
      </c>
      <c r="K12" s="3" t="s">
        <v>41</v>
      </c>
      <c r="L12" s="2">
        <v>4.8</v>
      </c>
    </row>
    <row r="13" spans="1:12" x14ac:dyDescent="0.3">
      <c r="A13" s="2">
        <v>4.9591836734693882</v>
      </c>
      <c r="C13" s="3" t="s">
        <v>44</v>
      </c>
      <c r="D13" s="8">
        <v>12</v>
      </c>
      <c r="G13" s="3" t="s">
        <v>43</v>
      </c>
      <c r="H13" s="8">
        <v>37.666666666666664</v>
      </c>
      <c r="K13" s="3" t="s">
        <v>42</v>
      </c>
      <c r="L13" s="2">
        <v>7.75</v>
      </c>
    </row>
    <row r="14" spans="1:12" x14ac:dyDescent="0.3">
      <c r="C14" s="3" t="s">
        <v>45</v>
      </c>
      <c r="D14" s="8">
        <v>21</v>
      </c>
      <c r="G14" s="3" t="s">
        <v>44</v>
      </c>
      <c r="H14" s="8">
        <v>36.083333333333336</v>
      </c>
      <c r="K14" s="3" t="s">
        <v>43</v>
      </c>
      <c r="L14" s="2">
        <v>6.2</v>
      </c>
    </row>
    <row r="15" spans="1:12" x14ac:dyDescent="0.3">
      <c r="C15" s="3" t="s">
        <v>46</v>
      </c>
      <c r="D15" s="8">
        <v>12</v>
      </c>
      <c r="G15" s="3" t="s">
        <v>45</v>
      </c>
      <c r="H15" s="8">
        <v>43.523809523809526</v>
      </c>
      <c r="K15" s="3" t="s">
        <v>44</v>
      </c>
      <c r="L15" s="2">
        <v>3.75</v>
      </c>
    </row>
    <row r="16" spans="1:12" x14ac:dyDescent="0.3">
      <c r="C16" s="3" t="s">
        <v>47</v>
      </c>
      <c r="D16" s="8">
        <v>13</v>
      </c>
      <c r="G16" s="3" t="s">
        <v>46</v>
      </c>
      <c r="H16" s="8">
        <v>29.5</v>
      </c>
      <c r="K16" s="3" t="s">
        <v>45</v>
      </c>
      <c r="L16" s="2">
        <v>6.5</v>
      </c>
    </row>
    <row r="17" spans="3:12" x14ac:dyDescent="0.3">
      <c r="C17" s="3" t="s">
        <v>48</v>
      </c>
      <c r="D17" s="8">
        <v>13</v>
      </c>
      <c r="G17" s="3" t="s">
        <v>47</v>
      </c>
      <c r="H17" s="8">
        <v>38.07692307692308</v>
      </c>
      <c r="K17" s="3" t="s">
        <v>46</v>
      </c>
      <c r="L17" s="2">
        <v>3</v>
      </c>
    </row>
    <row r="18" spans="3:12" x14ac:dyDescent="0.3">
      <c r="C18" s="3" t="s">
        <v>49</v>
      </c>
      <c r="D18" s="8">
        <v>16</v>
      </c>
      <c r="G18" s="3" t="s">
        <v>48</v>
      </c>
      <c r="H18" s="8">
        <v>35.846153846153847</v>
      </c>
      <c r="K18" s="3" t="s">
        <v>47</v>
      </c>
      <c r="L18" s="2">
        <v>4.5</v>
      </c>
    </row>
    <row r="19" spans="3:12" x14ac:dyDescent="0.3">
      <c r="C19" s="3" t="s">
        <v>50</v>
      </c>
      <c r="D19" s="8">
        <v>20</v>
      </c>
      <c r="G19" s="3" t="s">
        <v>49</v>
      </c>
      <c r="H19" s="8">
        <v>32.625</v>
      </c>
      <c r="K19" s="3" t="s">
        <v>48</v>
      </c>
      <c r="L19" s="2">
        <v>6</v>
      </c>
    </row>
    <row r="20" spans="3:12" x14ac:dyDescent="0.3">
      <c r="C20" s="3" t="s">
        <v>51</v>
      </c>
      <c r="D20" s="8">
        <v>25</v>
      </c>
      <c r="G20" s="3" t="s">
        <v>50</v>
      </c>
      <c r="H20" s="8">
        <v>39.200000000000003</v>
      </c>
      <c r="K20" s="3" t="s">
        <v>49</v>
      </c>
      <c r="L20" s="2">
        <v>5.2</v>
      </c>
    </row>
    <row r="21" spans="3:12" x14ac:dyDescent="0.3">
      <c r="C21" s="3" t="s">
        <v>52</v>
      </c>
      <c r="D21" s="8">
        <v>20</v>
      </c>
      <c r="G21" s="3" t="s">
        <v>51</v>
      </c>
      <c r="H21" s="8">
        <v>35.28</v>
      </c>
      <c r="K21" s="3" t="s">
        <v>50</v>
      </c>
      <c r="L21" s="2">
        <v>4.4000000000000004</v>
      </c>
    </row>
    <row r="22" spans="3:12" x14ac:dyDescent="0.3">
      <c r="C22" s="3" t="s">
        <v>53</v>
      </c>
      <c r="D22" s="8">
        <v>14</v>
      </c>
      <c r="G22" s="3" t="s">
        <v>52</v>
      </c>
      <c r="H22" s="8">
        <v>32.549999999999997</v>
      </c>
      <c r="K22" s="3" t="s">
        <v>51</v>
      </c>
      <c r="L22" s="2">
        <v>3.4545454545454546</v>
      </c>
    </row>
    <row r="23" spans="3:12" x14ac:dyDescent="0.3">
      <c r="C23" s="3" t="s">
        <v>54</v>
      </c>
      <c r="D23" s="8">
        <v>17</v>
      </c>
      <c r="G23" s="3" t="s">
        <v>53</v>
      </c>
      <c r="H23" s="8">
        <v>35.642857142857146</v>
      </c>
      <c r="K23" s="3" t="s">
        <v>52</v>
      </c>
      <c r="L23" s="2">
        <v>4.4000000000000004</v>
      </c>
    </row>
    <row r="24" spans="3:12" x14ac:dyDescent="0.3">
      <c r="C24" s="3" t="s">
        <v>55</v>
      </c>
      <c r="D24" s="8">
        <v>20</v>
      </c>
      <c r="G24" s="3" t="s">
        <v>54</v>
      </c>
      <c r="H24" s="8">
        <v>38.764705882352942</v>
      </c>
      <c r="K24" s="3" t="s">
        <v>53</v>
      </c>
      <c r="L24" s="2">
        <v>5.833333333333333</v>
      </c>
    </row>
    <row r="25" spans="3:12" x14ac:dyDescent="0.3">
      <c r="C25" s="3" t="s">
        <v>56</v>
      </c>
      <c r="D25" s="8">
        <v>10</v>
      </c>
      <c r="G25" s="3" t="s">
        <v>55</v>
      </c>
      <c r="H25" s="8">
        <v>39.9</v>
      </c>
      <c r="K25" s="3" t="s">
        <v>54</v>
      </c>
      <c r="L25" s="2">
        <v>4.4444444444444446</v>
      </c>
    </row>
    <row r="26" spans="3:12" x14ac:dyDescent="0.3">
      <c r="C26" s="3" t="s">
        <v>57</v>
      </c>
      <c r="D26" s="8">
        <v>17</v>
      </c>
      <c r="G26" s="3" t="s">
        <v>56</v>
      </c>
      <c r="H26" s="8">
        <v>41.6</v>
      </c>
      <c r="K26" s="3" t="s">
        <v>55</v>
      </c>
      <c r="L26" s="2">
        <v>5.333333333333333</v>
      </c>
    </row>
    <row r="27" spans="3:12" x14ac:dyDescent="0.3">
      <c r="C27" s="3" t="s">
        <v>58</v>
      </c>
      <c r="D27" s="8">
        <v>15</v>
      </c>
      <c r="G27" s="3" t="s">
        <v>57</v>
      </c>
      <c r="H27" s="8">
        <v>39.470588235294116</v>
      </c>
      <c r="K27" s="3" t="s">
        <v>56</v>
      </c>
      <c r="L27" s="2">
        <v>5.333333333333333</v>
      </c>
    </row>
    <row r="28" spans="3:12" x14ac:dyDescent="0.3">
      <c r="C28" s="3" t="s">
        <v>59</v>
      </c>
      <c r="D28" s="8">
        <v>16</v>
      </c>
      <c r="G28" s="3" t="s">
        <v>58</v>
      </c>
      <c r="H28" s="8">
        <v>27.733333333333334</v>
      </c>
      <c r="K28" s="3" t="s">
        <v>57</v>
      </c>
      <c r="L28" s="2">
        <v>5.5714285714285712</v>
      </c>
    </row>
    <row r="29" spans="3:12" x14ac:dyDescent="0.3">
      <c r="C29" s="3" t="s">
        <v>60</v>
      </c>
      <c r="D29" s="8">
        <v>18</v>
      </c>
      <c r="G29" s="3" t="s">
        <v>59</v>
      </c>
      <c r="H29" s="8">
        <v>36.875</v>
      </c>
      <c r="K29" s="3" t="s">
        <v>58</v>
      </c>
      <c r="L29" s="2">
        <v>5</v>
      </c>
    </row>
    <row r="30" spans="3:12" x14ac:dyDescent="0.3">
      <c r="C30" s="3" t="s">
        <v>61</v>
      </c>
      <c r="D30" s="8">
        <v>16</v>
      </c>
      <c r="G30" s="3" t="s">
        <v>60</v>
      </c>
      <c r="H30" s="8">
        <v>40.333333333333336</v>
      </c>
      <c r="K30" s="3" t="s">
        <v>59</v>
      </c>
      <c r="L30" s="2">
        <v>6.4</v>
      </c>
    </row>
    <row r="31" spans="3:12" x14ac:dyDescent="0.3">
      <c r="C31" s="3" t="s">
        <v>62</v>
      </c>
      <c r="D31" s="8">
        <v>15</v>
      </c>
      <c r="G31" s="3" t="s">
        <v>61</v>
      </c>
      <c r="H31" s="8">
        <v>36.5</v>
      </c>
      <c r="K31" s="3" t="s">
        <v>60</v>
      </c>
      <c r="L31" s="2">
        <v>5.333333333333333</v>
      </c>
    </row>
    <row r="32" spans="3:12" x14ac:dyDescent="0.3">
      <c r="C32" s="3" t="s">
        <v>63</v>
      </c>
      <c r="D32" s="8">
        <v>14</v>
      </c>
      <c r="G32" s="3" t="s">
        <v>62</v>
      </c>
      <c r="H32" s="8">
        <v>32.866666666666667</v>
      </c>
      <c r="K32" s="3" t="s">
        <v>61</v>
      </c>
      <c r="L32" s="2">
        <v>3.75</v>
      </c>
    </row>
    <row r="33" spans="1:12" x14ac:dyDescent="0.3">
      <c r="C33" s="3" t="s">
        <v>64</v>
      </c>
      <c r="D33" s="8">
        <v>16</v>
      </c>
      <c r="G33" s="3" t="s">
        <v>63</v>
      </c>
      <c r="H33" s="8">
        <v>36.642857142857146</v>
      </c>
      <c r="K33" s="3" t="s">
        <v>62</v>
      </c>
      <c r="L33" s="2">
        <v>6.333333333333333</v>
      </c>
    </row>
    <row r="34" spans="1:12" x14ac:dyDescent="0.3">
      <c r="C34" s="3" t="s">
        <v>65</v>
      </c>
      <c r="D34" s="8">
        <v>20</v>
      </c>
      <c r="G34" s="3" t="s">
        <v>64</v>
      </c>
      <c r="H34" s="8">
        <v>36.5625</v>
      </c>
      <c r="K34" s="3" t="s">
        <v>63</v>
      </c>
      <c r="L34" s="2">
        <v>10</v>
      </c>
    </row>
    <row r="35" spans="1:12" x14ac:dyDescent="0.3">
      <c r="C35" s="3" t="s">
        <v>66</v>
      </c>
      <c r="D35" s="8">
        <v>19</v>
      </c>
      <c r="G35" s="3" t="s">
        <v>65</v>
      </c>
      <c r="H35" s="8">
        <v>32.15</v>
      </c>
      <c r="K35" s="3" t="s">
        <v>64</v>
      </c>
      <c r="L35" s="2">
        <v>5</v>
      </c>
    </row>
    <row r="36" spans="1:12" x14ac:dyDescent="0.3">
      <c r="C36" s="3" t="s">
        <v>67</v>
      </c>
      <c r="D36" s="8">
        <v>14</v>
      </c>
      <c r="G36" s="3" t="s">
        <v>66</v>
      </c>
      <c r="H36" s="8">
        <v>38.368421052631582</v>
      </c>
      <c r="K36" s="3" t="s">
        <v>65</v>
      </c>
      <c r="L36" s="2">
        <v>5.333333333333333</v>
      </c>
    </row>
    <row r="37" spans="1:12" x14ac:dyDescent="0.3">
      <c r="C37" s="3" t="s">
        <v>68</v>
      </c>
      <c r="D37" s="8">
        <v>18</v>
      </c>
      <c r="G37" s="3" t="s">
        <v>67</v>
      </c>
      <c r="H37" s="8">
        <v>33.071428571428569</v>
      </c>
      <c r="K37" s="3" t="s">
        <v>66</v>
      </c>
      <c r="L37" s="2">
        <v>4.8</v>
      </c>
    </row>
    <row r="38" spans="1:12" x14ac:dyDescent="0.3">
      <c r="C38" s="3" t="s">
        <v>4</v>
      </c>
      <c r="D38" s="8">
        <v>513</v>
      </c>
      <c r="G38" s="3" t="s">
        <v>68</v>
      </c>
      <c r="H38" s="8">
        <v>36.444444444444443</v>
      </c>
      <c r="K38" s="3" t="s">
        <v>67</v>
      </c>
      <c r="L38" s="2">
        <v>5</v>
      </c>
    </row>
    <row r="39" spans="1:12" x14ac:dyDescent="0.3">
      <c r="G39" s="3" t="s">
        <v>4</v>
      </c>
      <c r="H39" s="8">
        <v>36.323586744639378</v>
      </c>
      <c r="K39" s="3" t="s">
        <v>68</v>
      </c>
      <c r="L39" s="2">
        <v>1.4</v>
      </c>
    </row>
    <row r="40" spans="1:12" x14ac:dyDescent="0.3">
      <c r="K40" s="3" t="s">
        <v>4</v>
      </c>
      <c r="L40" s="2">
        <v>4.9591836734693882</v>
      </c>
    </row>
    <row r="41" spans="1:12" x14ac:dyDescent="0.3">
      <c r="A41" s="1" t="s">
        <v>3</v>
      </c>
      <c r="B41" t="s">
        <v>8</v>
      </c>
      <c r="C41" t="s">
        <v>5</v>
      </c>
    </row>
    <row r="42" spans="1:12" x14ac:dyDescent="0.3">
      <c r="A42" s="3" t="s">
        <v>6</v>
      </c>
      <c r="B42" s="5">
        <v>269</v>
      </c>
      <c r="C42" s="6">
        <v>0.52436647173489281</v>
      </c>
    </row>
    <row r="43" spans="1:12" x14ac:dyDescent="0.3">
      <c r="A43" s="3" t="s">
        <v>7</v>
      </c>
      <c r="B43" s="5">
        <v>244</v>
      </c>
      <c r="C43" s="6">
        <v>0.47563352826510719</v>
      </c>
    </row>
    <row r="44" spans="1:12" x14ac:dyDescent="0.3">
      <c r="A44" s="3" t="s">
        <v>4</v>
      </c>
      <c r="B44" s="2">
        <v>513</v>
      </c>
      <c r="C44" s="6">
        <v>1</v>
      </c>
    </row>
    <row r="47" spans="1:12" ht="22.8" customHeight="1" x14ac:dyDescent="0.4">
      <c r="A47" s="12" t="s">
        <v>9</v>
      </c>
      <c r="B47" s="12" t="s">
        <v>10</v>
      </c>
      <c r="C47" s="12" t="s">
        <v>21</v>
      </c>
      <c r="D47" s="12" t="s">
        <v>20</v>
      </c>
      <c r="E47" s="7"/>
    </row>
    <row r="48" spans="1:12" ht="24" customHeight="1" x14ac:dyDescent="0.4">
      <c r="A48" s="13" t="str">
        <f>A43</f>
        <v>Not Admitted</v>
      </c>
      <c r="B48" s="14">
        <f>B43</f>
        <v>244</v>
      </c>
      <c r="C48" s="15">
        <f>C43</f>
        <v>0.47563352826510719</v>
      </c>
      <c r="D48" s="13"/>
    </row>
    <row r="49" spans="1:4" ht="27" customHeight="1" x14ac:dyDescent="0.4">
      <c r="A49" s="13" t="str">
        <f>A42</f>
        <v>Admitted</v>
      </c>
      <c r="B49" s="14">
        <f>B42</f>
        <v>269</v>
      </c>
      <c r="C49" s="15">
        <f>C42</f>
        <v>0.52436647173489281</v>
      </c>
      <c r="D49" s="13"/>
    </row>
    <row r="53" spans="1:4" x14ac:dyDescent="0.3">
      <c r="A53" s="1" t="s">
        <v>3</v>
      </c>
      <c r="B53" t="s">
        <v>19</v>
      </c>
    </row>
    <row r="54" spans="1:4" x14ac:dyDescent="0.3">
      <c r="A54" s="3" t="s">
        <v>11</v>
      </c>
      <c r="B54" s="5">
        <v>76</v>
      </c>
    </row>
    <row r="55" spans="1:4" x14ac:dyDescent="0.3">
      <c r="A55" s="3" t="s">
        <v>12</v>
      </c>
      <c r="B55" s="5">
        <v>69</v>
      </c>
    </row>
    <row r="56" spans="1:4" x14ac:dyDescent="0.3">
      <c r="A56" s="3" t="s">
        <v>13</v>
      </c>
      <c r="B56" s="5">
        <v>64</v>
      </c>
    </row>
    <row r="57" spans="1:4" x14ac:dyDescent="0.3">
      <c r="A57" s="3" t="s">
        <v>14</v>
      </c>
      <c r="B57" s="5">
        <v>59</v>
      </c>
    </row>
    <row r="58" spans="1:4" x14ac:dyDescent="0.3">
      <c r="A58" s="3" t="s">
        <v>15</v>
      </c>
      <c r="B58" s="5">
        <v>58</v>
      </c>
    </row>
    <row r="59" spans="1:4" x14ac:dyDescent="0.3">
      <c r="A59" s="3" t="s">
        <v>16</v>
      </c>
      <c r="B59" s="5">
        <v>66</v>
      </c>
    </row>
    <row r="60" spans="1:4" x14ac:dyDescent="0.3">
      <c r="A60" s="3" t="s">
        <v>17</v>
      </c>
      <c r="B60" s="5">
        <v>67</v>
      </c>
    </row>
    <row r="61" spans="1:4" x14ac:dyDescent="0.3">
      <c r="A61" s="3" t="s">
        <v>18</v>
      </c>
      <c r="B61" s="5">
        <v>54</v>
      </c>
    </row>
    <row r="62" spans="1:4" x14ac:dyDescent="0.3">
      <c r="A62" s="3" t="s">
        <v>4</v>
      </c>
      <c r="B62" s="2">
        <v>513</v>
      </c>
    </row>
    <row r="67" spans="1:2" x14ac:dyDescent="0.3">
      <c r="A67" s="1" t="s">
        <v>3</v>
      </c>
      <c r="B67" t="s">
        <v>24</v>
      </c>
    </row>
    <row r="68" spans="1:2" x14ac:dyDescent="0.3">
      <c r="A68" s="3" t="s">
        <v>23</v>
      </c>
      <c r="B68" s="2">
        <v>316</v>
      </c>
    </row>
    <row r="69" spans="1:2" x14ac:dyDescent="0.3">
      <c r="A69" s="3" t="s">
        <v>22</v>
      </c>
      <c r="B69" s="2">
        <v>197</v>
      </c>
    </row>
    <row r="70" spans="1:2" x14ac:dyDescent="0.3">
      <c r="A70" s="3" t="s">
        <v>4</v>
      </c>
      <c r="B70" s="2">
        <v>513</v>
      </c>
    </row>
    <row r="73" spans="1:2" x14ac:dyDescent="0.3">
      <c r="A73" s="1" t="s">
        <v>3</v>
      </c>
      <c r="B73" t="s">
        <v>27</v>
      </c>
    </row>
    <row r="74" spans="1:2" x14ac:dyDescent="0.3">
      <c r="A74" s="3" t="s">
        <v>25</v>
      </c>
      <c r="B74" s="2">
        <v>241</v>
      </c>
    </row>
    <row r="75" spans="1:2" x14ac:dyDescent="0.3">
      <c r="A75" s="3" t="s">
        <v>26</v>
      </c>
      <c r="B75" s="2">
        <v>272</v>
      </c>
    </row>
    <row r="76" spans="1:2" x14ac:dyDescent="0.3">
      <c r="A76" s="3" t="s">
        <v>4</v>
      </c>
      <c r="B76" s="2">
        <v>513</v>
      </c>
    </row>
    <row r="80" spans="1:2" x14ac:dyDescent="0.3">
      <c r="A80" s="1" t="s">
        <v>3</v>
      </c>
      <c r="B80" t="s">
        <v>36</v>
      </c>
    </row>
    <row r="81" spans="1:2" x14ac:dyDescent="0.3">
      <c r="A81" s="3" t="s">
        <v>29</v>
      </c>
      <c r="B81" s="5">
        <v>4</v>
      </c>
    </row>
    <row r="82" spans="1:2" x14ac:dyDescent="0.3">
      <c r="A82" s="3" t="s">
        <v>35</v>
      </c>
      <c r="B82" s="5">
        <v>5</v>
      </c>
    </row>
    <row r="83" spans="1:2" x14ac:dyDescent="0.3">
      <c r="A83" s="3" t="s">
        <v>31</v>
      </c>
      <c r="B83" s="5">
        <v>9</v>
      </c>
    </row>
    <row r="84" spans="1:2" x14ac:dyDescent="0.3">
      <c r="A84" s="3" t="s">
        <v>34</v>
      </c>
      <c r="B84" s="5">
        <v>14</v>
      </c>
    </row>
    <row r="85" spans="1:2" x14ac:dyDescent="0.3">
      <c r="A85" s="3" t="s">
        <v>28</v>
      </c>
      <c r="B85" s="5">
        <v>14</v>
      </c>
    </row>
    <row r="86" spans="1:2" x14ac:dyDescent="0.3">
      <c r="A86" s="3" t="s">
        <v>33</v>
      </c>
      <c r="B86" s="5">
        <v>65</v>
      </c>
    </row>
    <row r="87" spans="1:2" x14ac:dyDescent="0.3">
      <c r="A87" s="3" t="s">
        <v>30</v>
      </c>
      <c r="B87" s="5">
        <v>103</v>
      </c>
    </row>
    <row r="88" spans="1:2" x14ac:dyDescent="0.3">
      <c r="A88" s="3" t="s">
        <v>32</v>
      </c>
      <c r="B88" s="5">
        <v>299</v>
      </c>
    </row>
    <row r="89" spans="1:2" x14ac:dyDescent="0.3">
      <c r="A89" s="3" t="s">
        <v>4</v>
      </c>
      <c r="B89" s="2">
        <v>513</v>
      </c>
    </row>
    <row r="93" spans="1:2" x14ac:dyDescent="0.3">
      <c r="A93" s="1" t="s">
        <v>3</v>
      </c>
    </row>
    <row r="94" spans="1:2" x14ac:dyDescent="0.3">
      <c r="A94" s="3" t="s">
        <v>37</v>
      </c>
    </row>
    <row r="95" spans="1:2" x14ac:dyDescent="0.3">
      <c r="A95" s="3"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32A4-8DCF-44B9-AA5A-12722DBE502D}">
  <dimension ref="A1:V27"/>
  <sheetViews>
    <sheetView tabSelected="1" zoomScaleNormal="100" workbookViewId="0">
      <selection activeCell="V15" sqref="V15"/>
    </sheetView>
  </sheetViews>
  <sheetFormatPr defaultRowHeight="14.4" x14ac:dyDescent="0.3"/>
  <sheetData>
    <row r="1" spans="1:22" x14ac:dyDescent="0.3">
      <c r="A1" s="10"/>
      <c r="B1" s="10"/>
      <c r="C1" s="10"/>
      <c r="D1" s="10"/>
      <c r="E1" s="10"/>
      <c r="F1" s="10"/>
      <c r="G1" s="10"/>
      <c r="H1" s="10"/>
      <c r="I1" s="10"/>
      <c r="J1" s="10"/>
      <c r="K1" s="10"/>
      <c r="L1" s="10"/>
      <c r="M1" s="10"/>
      <c r="N1" s="10"/>
      <c r="O1" s="10"/>
      <c r="P1" s="10"/>
      <c r="Q1" s="10"/>
      <c r="R1" s="10"/>
      <c r="S1" s="10"/>
      <c r="T1" s="10"/>
    </row>
    <row r="2" spans="1:22" x14ac:dyDescent="0.3">
      <c r="A2" s="10"/>
      <c r="B2" s="10"/>
      <c r="C2" s="10"/>
      <c r="D2" s="10"/>
      <c r="E2" s="10"/>
      <c r="F2" s="10"/>
      <c r="G2" s="10"/>
      <c r="H2" s="10"/>
      <c r="I2" s="10"/>
      <c r="J2" s="10"/>
      <c r="K2" s="10"/>
      <c r="L2" s="10"/>
      <c r="M2" s="10"/>
      <c r="N2" s="10"/>
      <c r="O2" s="10"/>
      <c r="P2" s="10"/>
      <c r="Q2" s="10"/>
      <c r="R2" s="10"/>
      <c r="S2" s="10"/>
      <c r="T2" s="10"/>
    </row>
    <row r="3" spans="1:22" x14ac:dyDescent="0.3">
      <c r="A3" s="10"/>
      <c r="B3" s="10"/>
      <c r="C3" s="10"/>
      <c r="D3" s="10"/>
      <c r="E3" s="10"/>
      <c r="F3" s="10"/>
      <c r="G3" s="10"/>
      <c r="H3" s="10"/>
      <c r="I3" s="10"/>
      <c r="J3" s="10"/>
      <c r="K3" s="10"/>
      <c r="L3" s="10"/>
      <c r="M3" s="10"/>
      <c r="N3" s="10"/>
      <c r="O3" s="10"/>
      <c r="P3" s="10"/>
      <c r="Q3" s="10"/>
      <c r="R3" s="10"/>
      <c r="S3" s="10"/>
      <c r="T3" s="10"/>
    </row>
    <row r="4" spans="1:22" x14ac:dyDescent="0.3">
      <c r="A4" s="10"/>
      <c r="B4" s="10"/>
      <c r="C4" s="10"/>
      <c r="D4" s="10"/>
      <c r="E4" s="10"/>
      <c r="F4" s="10"/>
      <c r="G4" s="10"/>
      <c r="H4" s="10"/>
      <c r="I4" s="10"/>
      <c r="J4" s="10"/>
      <c r="K4" s="10"/>
      <c r="L4" s="10"/>
      <c r="M4" s="10"/>
      <c r="N4" s="10"/>
      <c r="O4" s="10"/>
      <c r="P4" s="10"/>
      <c r="Q4" s="10"/>
      <c r="R4" s="10"/>
      <c r="S4" s="10"/>
      <c r="T4" s="10"/>
    </row>
    <row r="5" spans="1:22" x14ac:dyDescent="0.3">
      <c r="A5" s="10"/>
      <c r="B5" s="10"/>
      <c r="C5" s="10"/>
      <c r="D5" s="10"/>
      <c r="E5" s="10"/>
      <c r="F5" s="10"/>
      <c r="G5" s="10"/>
      <c r="H5" s="10"/>
      <c r="I5" s="10"/>
      <c r="J5" s="10"/>
      <c r="K5" s="10"/>
      <c r="L5" s="10"/>
      <c r="M5" s="10"/>
      <c r="N5" s="10"/>
      <c r="O5" s="10"/>
      <c r="P5" s="10"/>
      <c r="Q5" s="10"/>
      <c r="R5" s="10"/>
      <c r="S5" s="10"/>
      <c r="T5" s="10"/>
    </row>
    <row r="6" spans="1:22" x14ac:dyDescent="0.3">
      <c r="A6" s="10"/>
      <c r="B6" s="10"/>
      <c r="C6" s="10"/>
      <c r="D6" s="10"/>
      <c r="E6" s="10"/>
      <c r="F6" s="10"/>
      <c r="G6" s="10"/>
      <c r="H6" s="10"/>
      <c r="I6" s="10"/>
      <c r="J6" s="10"/>
      <c r="K6" s="10"/>
      <c r="L6" s="10"/>
      <c r="M6" s="10"/>
      <c r="N6" s="10"/>
      <c r="O6" s="10"/>
      <c r="P6" s="10"/>
      <c r="Q6" s="10"/>
      <c r="R6" s="10"/>
      <c r="S6" s="10"/>
      <c r="T6" s="10"/>
    </row>
    <row r="7" spans="1:22" x14ac:dyDescent="0.3">
      <c r="A7" s="10"/>
      <c r="B7" s="10"/>
      <c r="C7" s="10"/>
      <c r="D7" s="10"/>
      <c r="E7" s="10"/>
      <c r="F7" s="10"/>
      <c r="G7" s="10"/>
      <c r="H7" s="10"/>
      <c r="I7" s="10"/>
      <c r="J7" s="10"/>
      <c r="K7" s="10"/>
      <c r="L7" s="10"/>
      <c r="M7" s="10"/>
      <c r="N7" s="10"/>
      <c r="O7" s="10"/>
      <c r="P7" s="10"/>
      <c r="Q7" s="10"/>
      <c r="R7" s="10"/>
      <c r="S7" s="10"/>
      <c r="T7" s="10"/>
    </row>
    <row r="8" spans="1:22" x14ac:dyDescent="0.3">
      <c r="A8" s="10"/>
      <c r="B8" s="10"/>
      <c r="C8" s="10"/>
      <c r="D8" s="10"/>
      <c r="E8" s="10"/>
      <c r="F8" s="10"/>
      <c r="G8" s="10"/>
      <c r="H8" s="10"/>
      <c r="I8" s="10"/>
      <c r="J8" s="10"/>
      <c r="K8" s="10"/>
      <c r="L8" s="10"/>
      <c r="M8" s="10"/>
      <c r="N8" s="10"/>
      <c r="O8" s="10"/>
      <c r="P8" s="10"/>
      <c r="Q8" s="10"/>
      <c r="R8" s="10"/>
      <c r="S8" s="10"/>
      <c r="T8" s="10"/>
    </row>
    <row r="9" spans="1:22" x14ac:dyDescent="0.3">
      <c r="A9" s="10"/>
      <c r="B9" s="10"/>
      <c r="C9" s="10"/>
      <c r="D9" s="10"/>
      <c r="E9" s="10"/>
      <c r="F9" s="10"/>
      <c r="G9" s="10"/>
      <c r="H9" s="10"/>
      <c r="I9" s="10"/>
      <c r="J9" s="10"/>
      <c r="K9" s="10"/>
      <c r="L9" s="10"/>
      <c r="M9" s="10"/>
      <c r="N9" s="10"/>
      <c r="O9" s="10"/>
      <c r="P9" s="10"/>
      <c r="Q9" s="10"/>
      <c r="R9" s="10"/>
      <c r="S9" s="10"/>
      <c r="T9" s="10"/>
      <c r="V9" s="9"/>
    </row>
    <row r="10" spans="1:22" x14ac:dyDescent="0.3">
      <c r="A10" s="10"/>
      <c r="B10" s="10"/>
      <c r="C10" s="10"/>
      <c r="D10" s="10"/>
      <c r="E10" s="10"/>
      <c r="F10" s="10"/>
      <c r="G10" s="10"/>
      <c r="H10" s="10"/>
      <c r="I10" s="10"/>
      <c r="J10" s="10"/>
      <c r="K10" s="10"/>
      <c r="L10" s="10"/>
      <c r="M10" s="10"/>
      <c r="N10" s="10"/>
      <c r="O10" s="10"/>
      <c r="P10" s="10"/>
      <c r="Q10" s="10"/>
      <c r="R10" s="10"/>
      <c r="S10" s="10"/>
      <c r="T10" s="10"/>
    </row>
    <row r="11" spans="1:22" x14ac:dyDescent="0.3">
      <c r="A11" s="10"/>
      <c r="B11" s="10"/>
      <c r="C11" s="10"/>
      <c r="D11" s="10"/>
      <c r="E11" s="10"/>
      <c r="F11" s="10"/>
      <c r="G11" s="10"/>
      <c r="H11" s="10"/>
      <c r="I11" s="10"/>
      <c r="J11" s="10"/>
      <c r="K11" s="10"/>
      <c r="L11" s="10"/>
      <c r="M11" s="10"/>
      <c r="N11" s="10"/>
      <c r="O11" s="10"/>
      <c r="P11" s="10"/>
      <c r="Q11" s="10"/>
      <c r="R11" s="11"/>
      <c r="S11" s="10"/>
      <c r="T11" s="10"/>
    </row>
    <row r="12" spans="1:22" x14ac:dyDescent="0.3">
      <c r="A12" s="10"/>
      <c r="B12" s="10"/>
      <c r="C12" s="10"/>
      <c r="D12" s="10"/>
      <c r="E12" s="10"/>
      <c r="F12" s="10"/>
      <c r="G12" s="10"/>
      <c r="H12" s="10"/>
      <c r="I12" s="10"/>
      <c r="J12" s="10"/>
      <c r="K12" s="10"/>
      <c r="L12" s="10"/>
      <c r="M12" s="10"/>
      <c r="N12" s="10"/>
      <c r="O12" s="10"/>
      <c r="P12" s="10"/>
      <c r="Q12" s="10"/>
      <c r="R12" s="10"/>
      <c r="S12" s="10"/>
      <c r="T12" s="10"/>
    </row>
    <row r="13" spans="1:22" x14ac:dyDescent="0.3">
      <c r="A13" s="10"/>
      <c r="B13" s="10"/>
      <c r="C13" s="10"/>
      <c r="D13" s="10"/>
      <c r="E13" s="10"/>
      <c r="F13" s="10"/>
      <c r="G13" s="10"/>
      <c r="H13" s="10"/>
      <c r="I13" s="10"/>
      <c r="J13" s="10"/>
      <c r="K13" s="10"/>
      <c r="L13" s="10"/>
      <c r="M13" s="10"/>
      <c r="N13" s="10"/>
      <c r="O13" s="10"/>
      <c r="P13" s="10"/>
      <c r="Q13" s="10"/>
      <c r="R13" s="10"/>
      <c r="S13" s="10"/>
      <c r="T13" s="10"/>
    </row>
    <row r="14" spans="1:22" x14ac:dyDescent="0.3">
      <c r="A14" s="10"/>
      <c r="B14" s="10"/>
      <c r="C14" s="10"/>
      <c r="D14" s="10"/>
      <c r="E14" s="10"/>
      <c r="F14" s="10"/>
      <c r="G14" s="10"/>
      <c r="H14" s="10"/>
      <c r="I14" s="10"/>
      <c r="J14" s="10"/>
      <c r="K14" s="10"/>
      <c r="L14" s="10"/>
      <c r="M14" s="10"/>
      <c r="N14" s="10"/>
      <c r="O14" s="10"/>
      <c r="P14" s="10"/>
      <c r="Q14" s="10"/>
      <c r="R14" s="10"/>
      <c r="S14" s="10"/>
      <c r="T14" s="10"/>
    </row>
    <row r="15" spans="1:22" x14ac:dyDescent="0.3">
      <c r="A15" s="10"/>
      <c r="B15" s="10"/>
      <c r="C15" s="10"/>
      <c r="D15" s="10"/>
      <c r="E15" s="10"/>
      <c r="F15" s="10"/>
      <c r="G15" s="10"/>
      <c r="H15" s="10"/>
      <c r="I15" s="10"/>
      <c r="J15" s="10"/>
      <c r="K15" s="10"/>
      <c r="L15" s="10"/>
      <c r="M15" s="10"/>
      <c r="N15" s="10"/>
      <c r="O15" s="10"/>
      <c r="P15" s="10"/>
      <c r="Q15" s="10"/>
      <c r="R15" s="10"/>
      <c r="S15" s="10"/>
      <c r="T15" s="10"/>
    </row>
    <row r="16" spans="1:22"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15C7-D5CD-4250-80C1-459BD623423B}">
  <dimension ref="A2:Q27"/>
  <sheetViews>
    <sheetView workbookViewId="0"/>
  </sheetViews>
  <sheetFormatPr defaultRowHeight="14.4" x14ac:dyDescent="0.3"/>
  <sheetData>
    <row r="2" spans="1:17" x14ac:dyDescent="0.3">
      <c r="A2" s="4"/>
      <c r="B2" s="4"/>
      <c r="C2" s="4"/>
      <c r="D2" s="4"/>
      <c r="E2" s="4"/>
      <c r="F2" s="4"/>
      <c r="G2" s="4"/>
      <c r="H2" s="4"/>
      <c r="I2" s="4"/>
      <c r="J2" s="4"/>
      <c r="K2" s="4"/>
      <c r="L2" s="4"/>
      <c r="M2" s="4"/>
      <c r="N2" s="4"/>
      <c r="O2" s="4"/>
      <c r="P2" s="4"/>
      <c r="Q2" s="4"/>
    </row>
    <row r="3" spans="1:17" x14ac:dyDescent="0.3">
      <c r="A3" s="4"/>
      <c r="B3" s="4"/>
      <c r="C3" s="4"/>
      <c r="D3" s="4"/>
      <c r="E3" s="4"/>
      <c r="F3" s="4"/>
      <c r="G3" s="4"/>
      <c r="H3" s="4"/>
      <c r="I3" s="4"/>
      <c r="J3" s="4"/>
      <c r="K3" s="4"/>
      <c r="L3" s="4"/>
      <c r="M3" s="4"/>
      <c r="N3" s="4"/>
      <c r="O3" s="4"/>
      <c r="P3" s="4"/>
      <c r="Q3" s="4"/>
    </row>
    <row r="4" spans="1:17" x14ac:dyDescent="0.3">
      <c r="A4" s="4"/>
      <c r="B4" s="4"/>
      <c r="C4" s="4"/>
      <c r="D4" s="4"/>
      <c r="E4" s="4"/>
      <c r="F4" s="4"/>
      <c r="G4" s="4"/>
      <c r="H4" s="4"/>
      <c r="I4" s="4"/>
      <c r="J4" s="4"/>
      <c r="K4" s="4"/>
      <c r="L4" s="4"/>
      <c r="M4" s="4"/>
      <c r="N4" s="4"/>
      <c r="O4" s="4"/>
      <c r="P4" s="4"/>
      <c r="Q4" s="4"/>
    </row>
    <row r="5" spans="1:17" x14ac:dyDescent="0.3">
      <c r="A5" s="4"/>
      <c r="B5" s="4"/>
      <c r="C5" s="4"/>
      <c r="D5" s="4"/>
      <c r="E5" s="4"/>
      <c r="F5" s="4"/>
      <c r="G5" s="4"/>
      <c r="H5" s="4"/>
      <c r="I5" s="4"/>
      <c r="J5" s="4"/>
      <c r="K5" s="4"/>
      <c r="L5" s="4"/>
      <c r="M5" s="4"/>
      <c r="N5" s="4"/>
      <c r="O5" s="4"/>
      <c r="P5" s="4"/>
      <c r="Q5" s="4"/>
    </row>
    <row r="6" spans="1:17" x14ac:dyDescent="0.3">
      <c r="A6" s="4"/>
      <c r="B6" s="4"/>
      <c r="C6" s="4"/>
      <c r="D6" s="4"/>
      <c r="E6" s="4"/>
      <c r="F6" s="4"/>
      <c r="G6" s="4"/>
      <c r="H6" s="4"/>
      <c r="I6" s="4"/>
      <c r="J6" s="4"/>
      <c r="K6" s="4"/>
      <c r="L6" s="4"/>
      <c r="M6" s="4"/>
      <c r="N6" s="4"/>
      <c r="O6" s="4"/>
      <c r="P6" s="4"/>
      <c r="Q6" s="4"/>
    </row>
    <row r="7" spans="1:17" x14ac:dyDescent="0.3">
      <c r="A7" s="4"/>
      <c r="B7" s="4"/>
      <c r="C7" s="4"/>
      <c r="D7" s="4"/>
      <c r="E7" s="4"/>
      <c r="F7" s="4"/>
      <c r="G7" s="4"/>
      <c r="H7" s="4"/>
      <c r="I7" s="4"/>
      <c r="J7" s="4"/>
      <c r="K7" s="4"/>
      <c r="L7" s="4"/>
      <c r="M7" s="4"/>
      <c r="N7" s="4"/>
      <c r="O7" s="4"/>
      <c r="P7" s="4"/>
      <c r="Q7" s="4"/>
    </row>
    <row r="8" spans="1:17" x14ac:dyDescent="0.3">
      <c r="A8" s="4"/>
      <c r="B8" s="4"/>
      <c r="C8" s="4"/>
      <c r="D8" s="4"/>
      <c r="E8" s="4"/>
      <c r="F8" s="4"/>
      <c r="G8" s="4"/>
      <c r="H8" s="4"/>
      <c r="I8" s="4"/>
      <c r="J8" s="4"/>
      <c r="K8" s="4"/>
      <c r="L8" s="4"/>
      <c r="M8" s="4"/>
      <c r="N8" s="4"/>
      <c r="O8" s="4"/>
      <c r="P8" s="4"/>
      <c r="Q8" s="4"/>
    </row>
    <row r="9" spans="1:17" x14ac:dyDescent="0.3">
      <c r="A9" s="4"/>
      <c r="B9" s="4"/>
      <c r="C9" s="4"/>
      <c r="D9" s="4"/>
      <c r="E9" s="4"/>
      <c r="F9" s="4"/>
      <c r="G9" s="4"/>
      <c r="H9" s="4"/>
      <c r="I9" s="4"/>
      <c r="J9" s="4"/>
      <c r="K9" s="4"/>
      <c r="L9" s="4"/>
      <c r="M9" s="4"/>
      <c r="N9" s="4"/>
      <c r="O9" s="4"/>
      <c r="P9" s="4"/>
      <c r="Q9" s="4"/>
    </row>
    <row r="10" spans="1:17" x14ac:dyDescent="0.3">
      <c r="A10" s="4"/>
      <c r="B10" s="4"/>
      <c r="C10" s="4"/>
      <c r="D10" s="4"/>
      <c r="E10" s="4"/>
      <c r="F10" s="4"/>
      <c r="G10" s="4"/>
      <c r="H10" s="4"/>
      <c r="I10" s="4"/>
      <c r="J10" s="4"/>
      <c r="K10" s="4"/>
      <c r="L10" s="4"/>
      <c r="M10" s="4"/>
      <c r="N10" s="4"/>
      <c r="O10" s="4"/>
      <c r="P10" s="4"/>
      <c r="Q10" s="4"/>
    </row>
    <row r="11" spans="1:17" x14ac:dyDescent="0.3">
      <c r="A11" s="4"/>
      <c r="B11" s="4"/>
      <c r="C11" s="4"/>
      <c r="D11" s="4"/>
      <c r="E11" s="4"/>
      <c r="F11" s="4"/>
      <c r="G11" s="4"/>
      <c r="H11" s="4"/>
      <c r="I11" s="4"/>
      <c r="J11" s="4"/>
      <c r="K11" s="4"/>
      <c r="L11" s="4"/>
      <c r="M11" s="4"/>
      <c r="N11" s="4"/>
      <c r="O11" s="4"/>
      <c r="P11" s="4"/>
      <c r="Q11" s="4"/>
    </row>
    <row r="12" spans="1:17" x14ac:dyDescent="0.3">
      <c r="A12" s="4"/>
      <c r="B12" s="4"/>
      <c r="C12" s="4"/>
      <c r="D12" s="4"/>
      <c r="E12" s="4"/>
      <c r="F12" s="4"/>
      <c r="G12" s="4"/>
      <c r="H12" s="4"/>
      <c r="I12" s="4"/>
      <c r="J12" s="4"/>
      <c r="K12" s="4"/>
      <c r="L12" s="4"/>
      <c r="M12" s="4"/>
      <c r="N12" s="4"/>
      <c r="O12" s="4"/>
      <c r="P12" s="4"/>
      <c r="Q12" s="4"/>
    </row>
    <row r="13" spans="1:17" x14ac:dyDescent="0.3">
      <c r="A13" s="4"/>
      <c r="B13" s="4"/>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4"/>
      <c r="B15" s="4"/>
      <c r="C15" s="4"/>
      <c r="D15" s="4"/>
      <c r="E15" s="4"/>
      <c r="F15" s="4"/>
      <c r="G15" s="4"/>
      <c r="H15" s="4"/>
      <c r="I15" s="4"/>
      <c r="J15" s="4"/>
      <c r="K15" s="4"/>
      <c r="L15" s="4"/>
      <c r="M15" s="4"/>
      <c r="N15" s="4"/>
      <c r="O15" s="4"/>
      <c r="P15" s="4"/>
      <c r="Q15" s="4"/>
    </row>
    <row r="16" spans="1:17"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1765-33F7-470A-A3B8-3973745ECF40}">
  <dimension ref="A1:P27"/>
  <sheetViews>
    <sheetView workbookViewId="0"/>
  </sheetViews>
  <sheetFormatPr defaultRowHeight="14.4" x14ac:dyDescent="0.3"/>
  <sheetData>
    <row r="1" spans="1:16" x14ac:dyDescent="0.3">
      <c r="A1" s="4"/>
      <c r="B1" s="4"/>
      <c r="C1" s="4"/>
      <c r="D1" s="4"/>
      <c r="E1" s="4"/>
      <c r="F1" s="4"/>
      <c r="G1" s="4"/>
      <c r="H1" s="4"/>
      <c r="I1" s="4"/>
      <c r="J1" s="4"/>
      <c r="K1" s="4"/>
      <c r="L1" s="4"/>
      <c r="M1" s="4"/>
      <c r="N1" s="4"/>
      <c r="O1" s="4"/>
      <c r="P1" s="4"/>
    </row>
    <row r="2" spans="1:16" x14ac:dyDescent="0.3">
      <c r="A2" s="4"/>
      <c r="B2" s="4"/>
      <c r="C2" s="4"/>
      <c r="D2" s="4"/>
      <c r="E2" s="4"/>
      <c r="F2" s="4"/>
      <c r="G2" s="4"/>
      <c r="H2" s="4"/>
      <c r="I2" s="4"/>
      <c r="J2" s="4"/>
      <c r="K2" s="4"/>
      <c r="L2" s="4"/>
      <c r="M2" s="4"/>
      <c r="N2" s="4"/>
      <c r="O2" s="4"/>
      <c r="P2" s="4"/>
    </row>
    <row r="3" spans="1:16" x14ac:dyDescent="0.3">
      <c r="A3" s="4"/>
      <c r="B3" s="4"/>
      <c r="C3" s="4"/>
      <c r="D3" s="4"/>
      <c r="E3" s="4"/>
      <c r="F3" s="4"/>
      <c r="G3" s="4"/>
      <c r="H3" s="4"/>
      <c r="I3" s="4"/>
      <c r="J3" s="4"/>
      <c r="K3" s="4"/>
      <c r="L3" s="4"/>
      <c r="M3" s="4"/>
      <c r="N3" s="4"/>
      <c r="O3" s="4"/>
      <c r="P3" s="4"/>
    </row>
    <row r="4" spans="1:16" x14ac:dyDescent="0.3">
      <c r="A4" s="4"/>
      <c r="B4" s="4"/>
      <c r="C4" s="4"/>
      <c r="D4" s="4"/>
      <c r="E4" s="4"/>
      <c r="F4" s="4"/>
      <c r="G4" s="4"/>
      <c r="H4" s="4"/>
      <c r="I4" s="4"/>
      <c r="J4" s="4"/>
      <c r="K4" s="4"/>
      <c r="L4" s="4"/>
      <c r="M4" s="4"/>
      <c r="N4" s="4"/>
      <c r="O4" s="4"/>
      <c r="P4" s="4"/>
    </row>
    <row r="5" spans="1:16" x14ac:dyDescent="0.3">
      <c r="A5" s="4"/>
      <c r="B5" s="4"/>
      <c r="C5" s="4"/>
      <c r="D5" s="4"/>
      <c r="E5" s="4"/>
      <c r="F5" s="4"/>
      <c r="G5" s="4"/>
      <c r="H5" s="4"/>
      <c r="I5" s="4"/>
      <c r="J5" s="4"/>
      <c r="K5" s="4"/>
      <c r="L5" s="4"/>
      <c r="M5" s="4"/>
      <c r="N5" s="4"/>
      <c r="O5" s="4"/>
      <c r="P5" s="4"/>
    </row>
    <row r="6" spans="1:16" x14ac:dyDescent="0.3">
      <c r="A6" s="4"/>
      <c r="B6" s="4"/>
      <c r="C6" s="4"/>
      <c r="D6" s="4"/>
      <c r="E6" s="4"/>
      <c r="F6" s="4"/>
      <c r="G6" s="4"/>
      <c r="H6" s="4"/>
      <c r="I6" s="4"/>
      <c r="J6" s="4"/>
      <c r="K6" s="4"/>
      <c r="L6" s="4"/>
      <c r="M6" s="4"/>
      <c r="N6" s="4"/>
      <c r="O6" s="4"/>
      <c r="P6" s="4"/>
    </row>
    <row r="7" spans="1:16" x14ac:dyDescent="0.3">
      <c r="A7" s="4"/>
      <c r="B7" s="4"/>
      <c r="C7" s="4"/>
      <c r="D7" s="4"/>
      <c r="E7" s="4"/>
      <c r="F7" s="4"/>
      <c r="G7" s="4"/>
      <c r="H7" s="4"/>
      <c r="I7" s="4"/>
      <c r="J7" s="4"/>
      <c r="K7" s="4"/>
      <c r="L7" s="4"/>
      <c r="M7" s="4"/>
      <c r="N7" s="4"/>
      <c r="O7" s="4"/>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row r="20" spans="1:16" x14ac:dyDescent="0.3">
      <c r="A20" s="4"/>
      <c r="B20" s="4"/>
      <c r="C20" s="4"/>
      <c r="D20" s="4"/>
      <c r="E20" s="4"/>
      <c r="F20" s="4"/>
      <c r="G20" s="4"/>
      <c r="H20" s="4"/>
      <c r="I20" s="4"/>
      <c r="J20" s="4"/>
      <c r="K20" s="4"/>
      <c r="L20" s="4"/>
      <c r="M20" s="4"/>
      <c r="N20" s="4"/>
      <c r="O20" s="4"/>
      <c r="P20" s="4"/>
    </row>
    <row r="21" spans="1:16" x14ac:dyDescent="0.3">
      <c r="A21" s="4"/>
      <c r="B21" s="4"/>
      <c r="C21" s="4"/>
      <c r="D21" s="4"/>
      <c r="E21" s="4"/>
      <c r="F21" s="4"/>
      <c r="G21" s="4"/>
      <c r="H21" s="4"/>
      <c r="I21" s="4"/>
      <c r="J21" s="4"/>
      <c r="K21" s="4"/>
      <c r="L21" s="4"/>
      <c r="M21" s="4"/>
      <c r="N21" s="4"/>
      <c r="O21" s="4"/>
      <c r="P21" s="4"/>
    </row>
    <row r="22" spans="1:16" x14ac:dyDescent="0.3">
      <c r="A22" s="4"/>
      <c r="B22" s="4"/>
      <c r="C22" s="4"/>
      <c r="D22" s="4"/>
      <c r="E22" s="4"/>
      <c r="F22" s="4"/>
      <c r="G22" s="4"/>
      <c r="H22" s="4"/>
      <c r="I22" s="4"/>
      <c r="J22" s="4"/>
      <c r="K22" s="4"/>
      <c r="L22" s="4"/>
      <c r="M22" s="4"/>
      <c r="N22" s="4"/>
      <c r="O22" s="4"/>
      <c r="P22" s="4"/>
    </row>
    <row r="23" spans="1:16" x14ac:dyDescent="0.3">
      <c r="A23" s="4"/>
      <c r="B23" s="4"/>
      <c r="C23" s="4"/>
      <c r="D23" s="4"/>
      <c r="E23" s="4"/>
      <c r="F23" s="4"/>
      <c r="G23" s="4"/>
      <c r="H23" s="4"/>
      <c r="I23" s="4"/>
      <c r="J23" s="4"/>
      <c r="K23" s="4"/>
      <c r="L23" s="4"/>
      <c r="M23" s="4"/>
      <c r="N23" s="4"/>
      <c r="O23" s="4"/>
      <c r="P23" s="4"/>
    </row>
    <row r="24" spans="1:16" x14ac:dyDescent="0.3">
      <c r="A24" s="4"/>
      <c r="B24" s="4"/>
      <c r="C24" s="4"/>
      <c r="D24" s="4"/>
      <c r="E24" s="4"/>
      <c r="F24" s="4"/>
      <c r="G24" s="4"/>
      <c r="H24" s="4"/>
      <c r="I24" s="4"/>
      <c r="J24" s="4"/>
      <c r="K24" s="4"/>
      <c r="L24" s="4"/>
      <c r="M24" s="4"/>
      <c r="N24" s="4"/>
      <c r="O24" s="4"/>
      <c r="P24" s="4"/>
    </row>
    <row r="25" spans="1:16"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row r="27" spans="1:16" x14ac:dyDescent="0.3">
      <c r="A27" s="4"/>
      <c r="B27" s="4"/>
      <c r="C27" s="4"/>
      <c r="D27" s="4"/>
      <c r="E27" s="4"/>
      <c r="F27" s="4"/>
      <c r="G27" s="4"/>
      <c r="H27" s="4"/>
      <c r="I27" s="4"/>
      <c r="J27" s="4"/>
      <c r="K27" s="4"/>
      <c r="L27" s="4"/>
      <c r="M27" s="4"/>
      <c r="N27" s="4"/>
      <c r="O27" s="4"/>
      <c r="P27"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DED1-3694-42A0-B0A2-7C23E6827D5A}">
  <dimension ref="A2:Q27"/>
  <sheetViews>
    <sheetView workbookViewId="0"/>
  </sheetViews>
  <sheetFormatPr defaultRowHeight="14.4" x14ac:dyDescent="0.3"/>
  <sheetData>
    <row r="2" spans="1:17" x14ac:dyDescent="0.3">
      <c r="A2" s="4"/>
      <c r="B2" s="4"/>
      <c r="C2" s="4"/>
      <c r="D2" s="4"/>
      <c r="E2" s="4"/>
      <c r="F2" s="4"/>
      <c r="G2" s="4"/>
      <c r="H2" s="4"/>
      <c r="I2" s="4"/>
      <c r="J2" s="4"/>
      <c r="K2" s="4"/>
      <c r="L2" s="4"/>
      <c r="M2" s="4"/>
      <c r="N2" s="4"/>
      <c r="O2" s="4"/>
      <c r="P2" s="4"/>
      <c r="Q2" s="4"/>
    </row>
    <row r="3" spans="1:17" x14ac:dyDescent="0.3">
      <c r="A3" s="4"/>
      <c r="B3" s="4"/>
      <c r="C3" s="4"/>
      <c r="D3" s="4"/>
      <c r="E3" s="4"/>
      <c r="F3" s="4"/>
      <c r="G3" s="4"/>
      <c r="H3" s="4"/>
      <c r="I3" s="4"/>
      <c r="J3" s="4"/>
      <c r="K3" s="4"/>
      <c r="L3" s="4"/>
      <c r="M3" s="4"/>
      <c r="N3" s="4"/>
      <c r="O3" s="4"/>
      <c r="P3" s="4"/>
      <c r="Q3" s="4"/>
    </row>
    <row r="4" spans="1:17" x14ac:dyDescent="0.3">
      <c r="A4" s="4"/>
      <c r="B4" s="4"/>
      <c r="C4" s="4"/>
      <c r="D4" s="4"/>
      <c r="E4" s="4"/>
      <c r="F4" s="4"/>
      <c r="G4" s="4"/>
      <c r="H4" s="4"/>
      <c r="I4" s="4"/>
      <c r="J4" s="4"/>
      <c r="K4" s="4"/>
      <c r="L4" s="4"/>
      <c r="M4" s="4"/>
      <c r="N4" s="4"/>
      <c r="O4" s="4"/>
      <c r="P4" s="4"/>
      <c r="Q4" s="4"/>
    </row>
    <row r="5" spans="1:17" x14ac:dyDescent="0.3">
      <c r="A5" s="4"/>
      <c r="B5" s="4"/>
      <c r="C5" s="4"/>
      <c r="D5" s="4"/>
      <c r="E5" s="4"/>
      <c r="F5" s="4"/>
      <c r="G5" s="4"/>
      <c r="H5" s="4"/>
      <c r="I5" s="4"/>
      <c r="J5" s="4"/>
      <c r="K5" s="4"/>
      <c r="L5" s="4"/>
      <c r="M5" s="4"/>
      <c r="N5" s="4"/>
      <c r="O5" s="4"/>
      <c r="P5" s="4"/>
      <c r="Q5" s="4"/>
    </row>
    <row r="6" spans="1:17" x14ac:dyDescent="0.3">
      <c r="A6" s="4"/>
      <c r="B6" s="4"/>
      <c r="C6" s="4"/>
      <c r="D6" s="4"/>
      <c r="E6" s="4"/>
      <c r="F6" s="4"/>
      <c r="G6" s="4"/>
      <c r="H6" s="4"/>
      <c r="I6" s="4"/>
      <c r="J6" s="4"/>
      <c r="K6" s="4"/>
      <c r="L6" s="4"/>
      <c r="M6" s="4"/>
      <c r="N6" s="4"/>
      <c r="O6" s="4"/>
      <c r="P6" s="4"/>
      <c r="Q6" s="4"/>
    </row>
    <row r="7" spans="1:17" x14ac:dyDescent="0.3">
      <c r="A7" s="4"/>
      <c r="B7" s="4"/>
      <c r="C7" s="4"/>
      <c r="D7" s="4"/>
      <c r="E7" s="4"/>
      <c r="F7" s="4"/>
      <c r="G7" s="4"/>
      <c r="H7" s="4"/>
      <c r="I7" s="4"/>
      <c r="J7" s="4"/>
      <c r="K7" s="4"/>
      <c r="L7" s="4"/>
      <c r="M7" s="4"/>
      <c r="N7" s="4"/>
      <c r="O7" s="4"/>
      <c r="P7" s="4"/>
      <c r="Q7" s="4"/>
    </row>
    <row r="8" spans="1:17" x14ac:dyDescent="0.3">
      <c r="A8" s="4"/>
      <c r="B8" s="4"/>
      <c r="C8" s="4"/>
      <c r="D8" s="4"/>
      <c r="E8" s="4"/>
      <c r="F8" s="4"/>
      <c r="G8" s="4"/>
      <c r="H8" s="4"/>
      <c r="I8" s="4"/>
      <c r="J8" s="4"/>
      <c r="K8" s="4"/>
      <c r="L8" s="4"/>
      <c r="M8" s="4"/>
      <c r="N8" s="4"/>
      <c r="O8" s="4"/>
      <c r="P8" s="4"/>
      <c r="Q8" s="4"/>
    </row>
    <row r="9" spans="1:17" x14ac:dyDescent="0.3">
      <c r="A9" s="4"/>
      <c r="B9" s="4"/>
      <c r="C9" s="4"/>
      <c r="D9" s="4"/>
      <c r="E9" s="4"/>
      <c r="F9" s="4"/>
      <c r="G9" s="4"/>
      <c r="H9" s="4"/>
      <c r="I9" s="4"/>
      <c r="J9" s="4"/>
      <c r="K9" s="4"/>
      <c r="L9" s="4"/>
      <c r="M9" s="4"/>
      <c r="N9" s="4"/>
      <c r="O9" s="4"/>
      <c r="P9" s="4"/>
      <c r="Q9" s="4"/>
    </row>
    <row r="10" spans="1:17" x14ac:dyDescent="0.3">
      <c r="A10" s="4"/>
      <c r="B10" s="4"/>
      <c r="C10" s="4"/>
      <c r="D10" s="4"/>
      <c r="E10" s="4"/>
      <c r="F10" s="4"/>
      <c r="G10" s="4"/>
      <c r="H10" s="4"/>
      <c r="I10" s="4"/>
      <c r="J10" s="4"/>
      <c r="K10" s="4"/>
      <c r="L10" s="4"/>
      <c r="M10" s="4"/>
      <c r="N10" s="4"/>
      <c r="O10" s="4"/>
      <c r="P10" s="4"/>
      <c r="Q10" s="4"/>
    </row>
    <row r="11" spans="1:17" x14ac:dyDescent="0.3">
      <c r="A11" s="4"/>
      <c r="B11" s="4"/>
      <c r="C11" s="4"/>
      <c r="D11" s="4"/>
      <c r="E11" s="4"/>
      <c r="F11" s="4"/>
      <c r="G11" s="4"/>
      <c r="H11" s="4"/>
      <c r="I11" s="4"/>
      <c r="J11" s="4"/>
      <c r="K11" s="4"/>
      <c r="L11" s="4"/>
      <c r="M11" s="4"/>
      <c r="N11" s="4"/>
      <c r="O11" s="4"/>
      <c r="P11" s="4"/>
      <c r="Q11" s="4"/>
    </row>
    <row r="12" spans="1:17" x14ac:dyDescent="0.3">
      <c r="A12" s="4"/>
      <c r="B12" s="4"/>
      <c r="C12" s="4"/>
      <c r="D12" s="4"/>
      <c r="E12" s="4"/>
      <c r="F12" s="4"/>
      <c r="G12" s="4"/>
      <c r="H12" s="4"/>
      <c r="I12" s="4"/>
      <c r="J12" s="4"/>
      <c r="K12" s="4"/>
      <c r="L12" s="4"/>
      <c r="M12" s="4"/>
      <c r="N12" s="4"/>
      <c r="O12" s="4"/>
      <c r="P12" s="4"/>
      <c r="Q12" s="4"/>
    </row>
    <row r="13" spans="1:17" x14ac:dyDescent="0.3">
      <c r="A13" s="4"/>
      <c r="B13" s="4"/>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4"/>
      <c r="B15" s="4"/>
      <c r="C15" s="4"/>
      <c r="D15" s="4"/>
      <c r="E15" s="4"/>
      <c r="F15" s="4"/>
      <c r="G15" s="4"/>
      <c r="H15" s="4"/>
      <c r="I15" s="4"/>
      <c r="J15" s="4"/>
      <c r="K15" s="4"/>
      <c r="L15" s="4"/>
      <c r="M15" s="4"/>
      <c r="N15" s="4"/>
      <c r="O15" s="4"/>
      <c r="P15" s="4"/>
      <c r="Q15" s="4"/>
    </row>
    <row r="16" spans="1:17"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4F5B984-EB5D-4C9F-9A36-F20BE498616B}">
  <ds:schemaRefs/>
</ds:datastoreItem>
</file>

<file path=customXml/itemProps2.xml><?xml version="1.0" encoding="utf-8"?>
<ds:datastoreItem xmlns:ds="http://schemas.openxmlformats.org/officeDocument/2006/customXml" ds:itemID="{64429C3E-E86C-4D5D-A1E5-420665590F13}">
  <ds:schemaRefs/>
</ds:datastoreItem>
</file>

<file path=customXml/itemProps3.xml><?xml version="1.0" encoding="utf-8"?>
<ds:datastoreItem xmlns:ds="http://schemas.openxmlformats.org/officeDocument/2006/customXml" ds:itemID="{5FD8101D-5DE4-4175-BF40-54E1938CAFF0}">
  <ds:schemaRefs/>
</ds:datastoreItem>
</file>

<file path=customXml/itemProps4.xml><?xml version="1.0" encoding="utf-8"?>
<ds:datastoreItem xmlns:ds="http://schemas.openxmlformats.org/officeDocument/2006/customXml" ds:itemID="{A8A0A7A1-D163-449D-8B0E-B52893F62AA4}">
  <ds:schemaRefs/>
</ds:datastoreItem>
</file>

<file path=customXml/itemProps5.xml><?xml version="1.0" encoding="utf-8"?>
<ds:datastoreItem xmlns:ds="http://schemas.openxmlformats.org/officeDocument/2006/customXml" ds:itemID="{EFA6EB9D-EC01-4FA9-BD62-C85E69A6F763}">
  <ds:schemaRefs/>
</ds:datastoreItem>
</file>

<file path=customXml/itemProps6.xml><?xml version="1.0" encoding="utf-8"?>
<ds:datastoreItem xmlns:ds="http://schemas.openxmlformats.org/officeDocument/2006/customXml" ds:itemID="{8EAE58DD-8CD7-4BCE-8449-B153DB525A5E}">
  <ds:schemaRefs/>
</ds:datastoreItem>
</file>

<file path=customXml/itemProps7.xml><?xml version="1.0" encoding="utf-8"?>
<ds:datastoreItem xmlns:ds="http://schemas.openxmlformats.org/officeDocument/2006/customXml" ds:itemID="{4AB48473-46A4-4C6D-8B08-33B5551FE0B2}">
  <ds:schemaRefs/>
</ds:datastoreItem>
</file>

<file path=customXml/itemProps8.xml><?xml version="1.0" encoding="utf-8"?>
<ds:datastoreItem xmlns:ds="http://schemas.openxmlformats.org/officeDocument/2006/customXml" ds:itemID="{6C63231F-D890-484D-9B90-092BE3C52D48}">
  <ds:schemaRefs/>
</ds:datastoreItem>
</file>

<file path=customXml/itemProps9.xml><?xml version="1.0" encoding="utf-8"?>
<ds:datastoreItem xmlns:ds="http://schemas.openxmlformats.org/officeDocument/2006/customXml" ds:itemID="{ED5274A4-996A-4BBA-9796-4D3AD03D200B}">
  <ds:schemaRefs/>
</ds:datastoreItem>
</file>

<file path=customXml/itemProps10.xml><?xml version="1.0" encoding="utf-8"?>
<ds:datastoreItem xmlns:ds="http://schemas.openxmlformats.org/officeDocument/2006/customXml" ds:itemID="{D9DC95F5-CF34-433C-A84A-73E1E854116B}">
  <ds:schemaRefs/>
</ds:datastoreItem>
</file>

<file path=customXml/itemProps11.xml><?xml version="1.0" encoding="utf-8"?>
<ds:datastoreItem xmlns:ds="http://schemas.openxmlformats.org/officeDocument/2006/customXml" ds:itemID="{96854D32-A87D-4578-8F02-59CF5498EA35}">
  <ds:schemaRefs/>
</ds:datastoreItem>
</file>

<file path=customXml/itemProps12.xml><?xml version="1.0" encoding="utf-8"?>
<ds:datastoreItem xmlns:ds="http://schemas.openxmlformats.org/officeDocument/2006/customXml" ds:itemID="{14D29EF3-D369-4208-8142-6F3E19A33FF2}">
  <ds:schemaRefs/>
</ds:datastoreItem>
</file>

<file path=customXml/itemProps13.xml><?xml version="1.0" encoding="utf-8"?>
<ds:datastoreItem xmlns:ds="http://schemas.openxmlformats.org/officeDocument/2006/customXml" ds:itemID="{C7D770EA-7DF5-478E-B02D-D9B274AE80B4}">
  <ds:schemaRefs/>
</ds:datastoreItem>
</file>

<file path=customXml/itemProps14.xml><?xml version="1.0" encoding="utf-8"?>
<ds:datastoreItem xmlns:ds="http://schemas.openxmlformats.org/officeDocument/2006/customXml" ds:itemID="{5241F965-345B-44D9-930F-261EA38AC74A}">
  <ds:schemaRefs/>
</ds:datastoreItem>
</file>

<file path=customXml/itemProps15.xml><?xml version="1.0" encoding="utf-8"?>
<ds:datastoreItem xmlns:ds="http://schemas.openxmlformats.org/officeDocument/2006/customXml" ds:itemID="{BCAE3F0A-6125-4241-AC14-D449E726C7FA}">
  <ds:schemaRefs/>
</ds:datastoreItem>
</file>

<file path=customXml/itemProps16.xml><?xml version="1.0" encoding="utf-8"?>
<ds:datastoreItem xmlns:ds="http://schemas.openxmlformats.org/officeDocument/2006/customXml" ds:itemID="{C86E6A7E-E0CE-467E-BA52-15A547B28DB5}">
  <ds:schemaRefs>
    <ds:schemaRef ds:uri="http://schemas.microsoft.com/DataMashup"/>
  </ds:schemaRefs>
</ds:datastoreItem>
</file>

<file path=customXml/itemProps17.xml><?xml version="1.0" encoding="utf-8"?>
<ds:datastoreItem xmlns:ds="http://schemas.openxmlformats.org/officeDocument/2006/customXml" ds:itemID="{693BC9FF-8940-449B-99CA-D3642A2EDDAA}">
  <ds:schemaRefs/>
</ds:datastoreItem>
</file>

<file path=customXml/itemProps18.xml><?xml version="1.0" encoding="utf-8"?>
<ds:datastoreItem xmlns:ds="http://schemas.openxmlformats.org/officeDocument/2006/customXml" ds:itemID="{2777B78C-E133-4295-AC65-9A08025B3B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Average Wait Time</vt:lpstr>
      <vt:lpstr>Daily ER Patient</vt:lpstr>
      <vt:lpstr>Daily Average Satisfaction Scor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kumarshubham4967@gmail.com</dc:creator>
  <cp:lastModifiedBy>kumarshubham4967@gmail.com</cp:lastModifiedBy>
  <dcterms:created xsi:type="dcterms:W3CDTF">2026-04-24T11:09:27Z</dcterms:created>
  <dcterms:modified xsi:type="dcterms:W3CDTF">2026-06-07T11:00:23Z</dcterms:modified>
</cp:coreProperties>
</file>